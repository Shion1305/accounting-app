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bookViews>
    <workbookView xWindow="28680" yWindow="-120" windowWidth="29040" windowHeight="15840" tabRatio="675" xr2:uid="{3D37658A-6E04-4DCB-AA25-23DF637378AC}"/>
  </bookViews>
  <sheets>
    <sheet name="会計報告書（必須）" sheetId="10" r:id="rId1"/>
    <sheet name="活動実績・記録用紙（必須）" sheetId="7" r:id="rId2"/>
    <sheet name="課外活動補助金申請・給付状況（必須）" sheetId="9" r:id="rId3"/>
    <sheet name="領収書貼付用紙" sheetId="11" r:id="rId4"/>
    <sheet name="リスト" sheetId="13" r:id="rId5"/>
  </sheets>
  <calcPr calcId="191028" fullCalcOnLoad="1"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1" l="1"/>
  <c r="B7" i="10"/>
  <c r="G45" i="10" l="1"/>
  <c r="C45" i="10"/>
</calcChain>
</file>

<file path=xl/sharedStrings.xml><?xml version="1.0" encoding="utf-8"?>
<sst xmlns="http://schemas.openxmlformats.org/spreadsheetml/2006/main" count="1188" uniqueCount="1085">
  <si>
    <t>【全サークル提出必須：提出期間4月6日（月）～4月10日（金）】</t>
    <rPh sb="1" eb="2">
      <t>ゼン</t>
    </rPh>
    <rPh sb="6" eb="8">
      <t>テイシュツ</t>
    </rPh>
    <rPh sb="8" eb="10">
      <t>ヒッス</t>
    </rPh>
    <rPh sb="11" eb="15">
      <t>テイシュツキカン</t>
    </rPh>
    <phoneticPr fontId="1"/>
  </si>
  <si>
    <t>yyyy/mm/dd</t>
    <phoneticPr fontId="1"/>
  </si>
  <si>
    <t>2025年度　会計報告書</t>
    <rPh sb="4" eb="6">
      <t>ネンド</t>
    </rPh>
    <rPh sb="7" eb="9">
      <t>カイケイ</t>
    </rPh>
    <rPh sb="9" eb="12">
      <t>ホウコクショ</t>
    </rPh>
    <phoneticPr fontId="1"/>
  </si>
  <si>
    <t>分類番号</t>
    <rPh sb="0" eb="2">
      <t>ブンルイ</t>
    </rPh>
    <rPh sb="2" eb="4">
      <t>バンゴウ</t>
    </rPh>
    <phoneticPr fontId="1"/>
  </si>
  <si>
    <t>※公認サークル以外は「未公認」を選択してください。</t>
    <rPh sb="1" eb="3">
      <t>コウニン</t>
    </rPh>
    <rPh sb="7" eb="9">
      <t>イガイ</t>
    </rPh>
    <rPh sb="11" eb="14">
      <t>ミコウニン</t>
    </rPh>
    <rPh sb="16" eb="18">
      <t>センタク</t>
    </rPh>
    <phoneticPr fontId="1"/>
  </si>
  <si>
    <t>サークル名</t>
    <rPh sb="4" eb="5">
      <t>メイ</t>
    </rPh>
    <phoneticPr fontId="1"/>
  </si>
  <si>
    <t>記入者</t>
    <rPh sb="0" eb="3">
      <t>キニュウシャ</t>
    </rPh>
    <phoneticPr fontId="1"/>
  </si>
  <si>
    <t>学籍番号</t>
    <rPh sb="0" eb="4">
      <t>ガクセキバンゴウ</t>
    </rPh>
    <phoneticPr fontId="1"/>
  </si>
  <si>
    <t>氏名</t>
    <rPh sb="0" eb="2">
      <t>シメイ</t>
    </rPh>
    <phoneticPr fontId="1"/>
  </si>
  <si>
    <t>携帯電話番号</t>
    <rPh sb="0" eb="2">
      <t>ケイタイ</t>
    </rPh>
    <rPh sb="2" eb="6">
      <t>デンワバンゴウ</t>
    </rPh>
    <phoneticPr fontId="1"/>
  </si>
  <si>
    <t>役職（該当する役職を選択してください）</t>
    <rPh sb="0" eb="2">
      <t>ヤクショク</t>
    </rPh>
    <rPh sb="3" eb="5">
      <t>ガイトウ</t>
    </rPh>
    <rPh sb="7" eb="9">
      <t>ヤクショク</t>
    </rPh>
    <rPh sb="10" eb="12">
      <t>センタク</t>
    </rPh>
    <phoneticPr fontId="1"/>
  </si>
  <si>
    <t>下記の通り相違ないことを報告いたします。</t>
    <rPh sb="0" eb="2">
      <t>カキ</t>
    </rPh>
    <rPh sb="3" eb="4">
      <t>トオ</t>
    </rPh>
    <rPh sb="5" eb="7">
      <t>ソウイ</t>
    </rPh>
    <rPh sb="12" eb="14">
      <t>ホウコク</t>
    </rPh>
    <phoneticPr fontId="1"/>
  </si>
  <si>
    <t>会計報告（2025年度）</t>
    <rPh sb="0" eb="2">
      <t>カイケイ</t>
    </rPh>
    <rPh sb="2" eb="4">
      <t>ホウコク</t>
    </rPh>
    <rPh sb="9" eb="11">
      <t>ネンド</t>
    </rPh>
    <phoneticPr fontId="1"/>
  </si>
  <si>
    <t>収入</t>
    <rPh sb="0" eb="2">
      <t>シュウニュウ</t>
    </rPh>
    <phoneticPr fontId="1"/>
  </si>
  <si>
    <t>支出</t>
    <rPh sb="0" eb="2">
      <t>シシュツ</t>
    </rPh>
    <phoneticPr fontId="1"/>
  </si>
  <si>
    <t>内訳</t>
    <rPh sb="0" eb="2">
      <t>ウチワケ</t>
    </rPh>
    <phoneticPr fontId="1"/>
  </si>
  <si>
    <t>金額</t>
    <rPh sb="0" eb="2">
      <t>キンガク</t>
    </rPh>
    <phoneticPr fontId="1"/>
  </si>
  <si>
    <t>前年度繰越金</t>
    <rPh sb="0" eb="3">
      <t>ゼンネンド</t>
    </rPh>
    <rPh sb="3" eb="6">
      <t>クリコシキン</t>
    </rPh>
    <phoneticPr fontId="1"/>
  </si>
  <si>
    <t>印刷製本費</t>
  </si>
  <si>
    <t>サークル会費</t>
    <rPh sb="4" eb="6">
      <t>カイヒ</t>
    </rPh>
    <phoneticPr fontId="1"/>
  </si>
  <si>
    <t>消耗品費</t>
  </si>
  <si>
    <t>OB・OG等寄付金</t>
    <rPh sb="5" eb="6">
      <t>ナド</t>
    </rPh>
    <rPh sb="6" eb="9">
      <t>キフキン</t>
    </rPh>
    <phoneticPr fontId="1"/>
  </si>
  <si>
    <t>用品費</t>
  </si>
  <si>
    <t>企業等協賛金</t>
    <rPh sb="0" eb="2">
      <t>キギョウ</t>
    </rPh>
    <rPh sb="2" eb="3">
      <t>ナド</t>
    </rPh>
    <rPh sb="3" eb="5">
      <t>キョウサン</t>
    </rPh>
    <rPh sb="5" eb="6">
      <t>キン</t>
    </rPh>
    <phoneticPr fontId="1"/>
  </si>
  <si>
    <t>図書資料費</t>
  </si>
  <si>
    <t>課外活動補助金（大学給付）</t>
    <rPh sb="0" eb="7">
      <t>カガイカツドウホジョキン</t>
    </rPh>
    <rPh sb="8" eb="10">
      <t>ダイガク</t>
    </rPh>
    <rPh sb="10" eb="12">
      <t>キュウフ</t>
    </rPh>
    <phoneticPr fontId="1"/>
  </si>
  <si>
    <t>広告宣伝費</t>
  </si>
  <si>
    <t>その他の収入①（　　　　　　　）</t>
    <phoneticPr fontId="1"/>
  </si>
  <si>
    <t>通信費</t>
  </si>
  <si>
    <t>その他の収入②（　　　　　　　）</t>
    <phoneticPr fontId="1"/>
  </si>
  <si>
    <t>施設利用費</t>
  </si>
  <si>
    <t>その他の収入③（　　　　　　　）</t>
    <phoneticPr fontId="1"/>
  </si>
  <si>
    <t>宿泊費</t>
  </si>
  <si>
    <t>その他の収入④（　　　　　　　）</t>
    <phoneticPr fontId="1"/>
  </si>
  <si>
    <t>交通費</t>
  </si>
  <si>
    <t>その他の収入⑤（　　　　　　　）</t>
    <phoneticPr fontId="1"/>
  </si>
  <si>
    <t>保険料</t>
  </si>
  <si>
    <t>その他の収入⑥（　　　　　　　）</t>
    <phoneticPr fontId="1"/>
  </si>
  <si>
    <t>賃借料</t>
  </si>
  <si>
    <t>その他の収入⑦（　　　　　　　）</t>
    <phoneticPr fontId="1"/>
  </si>
  <si>
    <t>講師料</t>
  </si>
  <si>
    <t>その他の収入⑧（　　　　　　　）</t>
    <phoneticPr fontId="1"/>
  </si>
  <si>
    <t>委託費</t>
  </si>
  <si>
    <t>その他の収入⑨（　　　　　　　）</t>
    <phoneticPr fontId="1"/>
  </si>
  <si>
    <t>医療費</t>
  </si>
  <si>
    <t>その他の収入⑩（　　　　　　　）</t>
    <phoneticPr fontId="1"/>
  </si>
  <si>
    <t>参加費・登録費</t>
  </si>
  <si>
    <t>雑費</t>
  </si>
  <si>
    <t>その他の支出①（　　　　　　　）</t>
    <phoneticPr fontId="1"/>
  </si>
  <si>
    <t>その他の支出②（　　　　　　　）</t>
    <phoneticPr fontId="1"/>
  </si>
  <si>
    <t>その他の支出③（　　　　　　　）</t>
    <phoneticPr fontId="1"/>
  </si>
  <si>
    <t>その他の支出④（　　　　　　　）</t>
    <phoneticPr fontId="1"/>
  </si>
  <si>
    <t>その他の支出⑤（　　　　　　　）</t>
    <phoneticPr fontId="1"/>
  </si>
  <si>
    <t>その他の支出⑥（　　　　　　　）</t>
    <phoneticPr fontId="1"/>
  </si>
  <si>
    <t>その他の支出⑦（　　　　　　　）</t>
    <phoneticPr fontId="1"/>
  </si>
  <si>
    <t>その他の支出⑧（　　　　　　　）</t>
    <phoneticPr fontId="1"/>
  </si>
  <si>
    <t>その他の支出⑨（　　　　　　　）</t>
    <phoneticPr fontId="1"/>
  </si>
  <si>
    <t>その他の支出⑩（　　　　　　　）</t>
    <phoneticPr fontId="1"/>
  </si>
  <si>
    <t>次年度繰越金</t>
  </si>
  <si>
    <t>総収入額</t>
  </si>
  <si>
    <t>総支出額</t>
  </si>
  <si>
    <t>会長への報告日</t>
    <rPh sb="0" eb="2">
      <t>カイチョウ</t>
    </rPh>
    <rPh sb="4" eb="7">
      <t>ホウコクビ</t>
    </rPh>
    <phoneticPr fontId="1"/>
  </si>
  <si>
    <t>※ 「会計報告書」には、2025年度中に提出した「イベント実施報告書」に貼付した領収書分の支出を含め、当該年度の全収支を記入してください。</t>
  </si>
  <si>
    <t>※ 未提出の領収書がある場合は、別紙「会計報告書領収書貼付用紙」に貼付し、「会計報告書」とあわせて提出してください。</t>
    <rPh sb="16" eb="18">
      <t>ベッシ</t>
    </rPh>
    <rPh sb="38" eb="40">
      <t>カイケイ</t>
    </rPh>
    <rPh sb="40" eb="43">
      <t>ホウコクショ</t>
    </rPh>
    <rPh sb="49" eb="51">
      <t>テイシュツ</t>
    </rPh>
    <phoneticPr fontId="1"/>
  </si>
  <si>
    <t>※ 【重要】サークルから会長へ記入済の「会計報告書」をe-mailで送信し、前年度の収支状況を報告してください。</t>
    <rPh sb="3" eb="5">
      <t>ジュウヨウ</t>
    </rPh>
    <rPh sb="15" eb="18">
      <t>キニュウズ</t>
    </rPh>
    <rPh sb="38" eb="41">
      <t>ゼンネンド</t>
    </rPh>
    <rPh sb="42" eb="46">
      <t>シュウシジョウキョウ</t>
    </rPh>
    <rPh sb="47" eb="49">
      <t>ホウコク</t>
    </rPh>
    <phoneticPr fontId="1"/>
  </si>
  <si>
    <t>2025年度（2025年4月1日～2026年3月31日）活動実績・記録</t>
    <rPh sb="4" eb="6">
      <t>ネンド</t>
    </rPh>
    <phoneticPr fontId="1"/>
  </si>
  <si>
    <t>月</t>
    <rPh sb="0" eb="1">
      <t>ツキ</t>
    </rPh>
    <phoneticPr fontId="1"/>
  </si>
  <si>
    <t>活動日時・場所・参加人数を可能な限り詳細に記入のこと</t>
    <phoneticPr fontId="1"/>
  </si>
  <si>
    <t>記入例</t>
    <phoneticPr fontId="1"/>
  </si>
  <si>
    <t xml:space="preserve">・練習[月/水/金]（○○○体育館・28人）      </t>
    <phoneticPr fontId="1"/>
  </si>
  <si>
    <t>※「イベント実施報告書」を提出したイベントには、セルを緑色にしてください。</t>
    <rPh sb="6" eb="8">
      <t>ジッシ</t>
    </rPh>
    <rPh sb="8" eb="10">
      <t>ホウコク</t>
    </rPh>
    <rPh sb="10" eb="11">
      <t>ショ</t>
    </rPh>
    <rPh sb="13" eb="15">
      <t>テイシュツ</t>
    </rPh>
    <rPh sb="27" eb="29">
      <t>ミドリイロ</t>
    </rPh>
    <phoneticPr fontId="1"/>
  </si>
  <si>
    <t xml:space="preserve">・4/3 △△△リーグ戦（□□□競技場・50人） </t>
    <phoneticPr fontId="1"/>
  </si>
  <si>
    <t>・4/27 定期総会（学生会館部室・60人）</t>
    <phoneticPr fontId="1"/>
  </si>
  <si>
    <t>4月</t>
    <rPh sb="1" eb="2">
      <t>ガツ</t>
    </rPh>
    <phoneticPr fontId="1"/>
  </si>
  <si>
    <t>・</t>
    <phoneticPr fontId="1"/>
  </si>
  <si>
    <t>5月</t>
    <rPh sb="1" eb="2">
      <t>ガツ</t>
    </rPh>
    <phoneticPr fontId="1"/>
  </si>
  <si>
    <t>6月</t>
    <rPh sb="1" eb="2">
      <t>ガツ</t>
    </rPh>
    <phoneticPr fontId="1"/>
  </si>
  <si>
    <t>7月</t>
    <rPh sb="1" eb="2">
      <t>ガツ</t>
    </rPh>
    <phoneticPr fontId="1"/>
  </si>
  <si>
    <t>8月</t>
    <rPh sb="1" eb="2">
      <t>ガツ</t>
    </rPh>
    <phoneticPr fontId="1"/>
  </si>
  <si>
    <t>9月</t>
    <rPh sb="1" eb="2">
      <t>ガツ</t>
    </rPh>
    <phoneticPr fontId="1"/>
  </si>
  <si>
    <t>10月</t>
    <rPh sb="2" eb="3">
      <t>ガツ</t>
    </rPh>
    <phoneticPr fontId="1"/>
  </si>
  <si>
    <t>11月</t>
    <rPh sb="2" eb="3">
      <t>ガツ</t>
    </rPh>
    <phoneticPr fontId="1"/>
  </si>
  <si>
    <t>12月</t>
    <rPh sb="2" eb="3">
      <t>ガツ</t>
    </rPh>
    <phoneticPr fontId="1"/>
  </si>
  <si>
    <t>1月</t>
    <rPh sb="1" eb="2">
      <t>ガツ</t>
    </rPh>
    <phoneticPr fontId="1"/>
  </si>
  <si>
    <t>2月</t>
    <rPh sb="1" eb="2">
      <t>ガツ</t>
    </rPh>
    <phoneticPr fontId="1"/>
  </si>
  <si>
    <t>3月</t>
    <rPh sb="1" eb="2">
      <t>ガツ</t>
    </rPh>
    <phoneticPr fontId="1"/>
  </si>
  <si>
    <t>上記の活動のうち、学外から依頼されて参加した活動の件数</t>
    <rPh sb="0" eb="2">
      <t>ジョウキ</t>
    </rPh>
    <rPh sb="22" eb="24">
      <t>カツドウ</t>
    </rPh>
    <phoneticPr fontId="1"/>
  </si>
  <si>
    <t>（　　　　）件</t>
    <phoneticPr fontId="1"/>
  </si>
  <si>
    <t>2025年度課外活動補助金申請・給付状況</t>
    <phoneticPr fontId="1"/>
  </si>
  <si>
    <t>1. 2025年度課外活動補助金決定コース</t>
    <rPh sb="7" eb="9">
      <t>ネンド</t>
    </rPh>
    <rPh sb="9" eb="16">
      <t>カガイカツドウホジョキン</t>
    </rPh>
    <rPh sb="16" eb="18">
      <t>ケッテイ</t>
    </rPh>
    <phoneticPr fontId="1"/>
  </si>
  <si>
    <t>2. 2025年度に提出したイベント実施報告書（課外活動補助金を申請していない場合は以下入力不要）</t>
    <rPh sb="7" eb="9">
      <t>ネンド</t>
    </rPh>
    <rPh sb="10" eb="12">
      <t>テイシュツ</t>
    </rPh>
    <rPh sb="18" eb="23">
      <t>ジッシホウコクショ</t>
    </rPh>
    <rPh sb="24" eb="31">
      <t>カガイカツドウホジョキン</t>
    </rPh>
    <rPh sb="32" eb="34">
      <t>シンセイ</t>
    </rPh>
    <rPh sb="39" eb="41">
      <t>バアイ</t>
    </rPh>
    <rPh sb="42" eb="44">
      <t>イカ</t>
    </rPh>
    <rPh sb="44" eb="46">
      <t>ニュウリョク</t>
    </rPh>
    <rPh sb="46" eb="48">
      <t>フヨウ</t>
    </rPh>
    <phoneticPr fontId="1"/>
  </si>
  <si>
    <t>イベントNo.</t>
  </si>
  <si>
    <t>イベント名</t>
    <rPh sb="4" eb="5">
      <t>メイ</t>
    </rPh>
    <phoneticPr fontId="1"/>
  </si>
  <si>
    <t>支出合計金額</t>
    <rPh sb="0" eb="6">
      <t>シシュツゴウケイキンガク</t>
    </rPh>
    <phoneticPr fontId="1"/>
  </si>
  <si>
    <t>支出費目</t>
    <rPh sb="0" eb="2">
      <t>シシュツ</t>
    </rPh>
    <rPh sb="2" eb="4">
      <t>ヒモク</t>
    </rPh>
    <phoneticPr fontId="1"/>
  </si>
  <si>
    <t>記入例</t>
    <rPh sb="0" eb="3">
      <t>キニュウレイ</t>
    </rPh>
    <phoneticPr fontId="1"/>
  </si>
  <si>
    <t>夏合宿</t>
    <rPh sb="0" eb="3">
      <t>ナツガッシュク</t>
    </rPh>
    <phoneticPr fontId="1"/>
  </si>
  <si>
    <t>施設利用料、消耗品費、用品費、
印刷費、講師料</t>
    <rPh sb="0" eb="5">
      <t>シセツリヨウリョウ</t>
    </rPh>
    <rPh sb="6" eb="10">
      <t>ショウモウヒンヒ</t>
    </rPh>
    <rPh sb="11" eb="14">
      <t>ヨウヒンヒ</t>
    </rPh>
    <rPh sb="16" eb="19">
      <t>インサツヒ</t>
    </rPh>
    <rPh sb="20" eb="23">
      <t>コウシリョウ</t>
    </rPh>
    <phoneticPr fontId="1"/>
  </si>
  <si>
    <t>3. 2025年度課外活動補助金受給額</t>
    <rPh sb="7" eb="9">
      <t>ネンド</t>
    </rPh>
    <rPh sb="9" eb="16">
      <t>カガイカツドウホジョキン</t>
    </rPh>
    <rPh sb="16" eb="18">
      <t>ジュキュウ</t>
    </rPh>
    <rPh sb="18" eb="19">
      <t>ガク</t>
    </rPh>
    <phoneticPr fontId="1"/>
  </si>
  <si>
    <t>2025年度会計報告書　領収書貼付用紙</t>
    <rPh sb="4" eb="6">
      <t>ネンド</t>
    </rPh>
    <rPh sb="6" eb="8">
      <t>カイケイ</t>
    </rPh>
    <rPh sb="8" eb="11">
      <t>ホウコクショ</t>
    </rPh>
    <rPh sb="12" eb="15">
      <t>リョウシュウショ</t>
    </rPh>
    <rPh sb="15" eb="17">
      <t>チョウフ</t>
    </rPh>
    <rPh sb="17" eb="19">
      <t>ヨウシ</t>
    </rPh>
    <phoneticPr fontId="1"/>
  </si>
  <si>
    <t>本ページの領収書総額：</t>
    <phoneticPr fontId="1"/>
  </si>
  <si>
    <t>領 収 書 貼 付 欄</t>
    <phoneticPr fontId="1"/>
  </si>
  <si>
    <r>
      <t>下記①②の内、該当するものに</t>
    </r>
    <r>
      <rPr>
        <sz val="10"/>
        <color theme="1"/>
        <rFont val="Segoe UI Symbol"/>
        <family val="1"/>
      </rPr>
      <t>✓</t>
    </r>
    <r>
      <rPr>
        <sz val="10"/>
        <color theme="1"/>
        <rFont val="UD デジタル 教科書体 N-R"/>
        <family val="1"/>
        <charset val="128"/>
      </rPr>
      <t>を入れてください。</t>
    </r>
    <rPh sb="16" eb="17">
      <t>イ</t>
    </rPh>
    <phoneticPr fontId="1"/>
  </si>
  <si>
    <t>①全ての領収書を2025年度の「イベント実施報告書」で提出済みです。　</t>
    <rPh sb="12" eb="14">
      <t>ネンド</t>
    </rPh>
    <rPh sb="20" eb="22">
      <t>ジッシ</t>
    </rPh>
    <rPh sb="22" eb="25">
      <t>ホウコクショ</t>
    </rPh>
    <phoneticPr fontId="1"/>
  </si>
  <si>
    <t>②本用紙に貼付して領収書を提出します。　</t>
    <phoneticPr fontId="1"/>
  </si>
  <si>
    <t>～ 領収書は必ず糊で貼付してください ～</t>
    <phoneticPr fontId="1"/>
  </si>
  <si>
    <t xml:space="preserve">★ホチキス使用不可 </t>
    <phoneticPr fontId="1"/>
  </si>
  <si>
    <t xml:space="preserve">★重ねて貼付不可 </t>
    <rPh sb="1" eb="2">
      <t>カサ</t>
    </rPh>
    <rPh sb="4" eb="6">
      <t>ハリツ</t>
    </rPh>
    <phoneticPr fontId="1"/>
  </si>
  <si>
    <r>
      <t>本紙に貼付された領収書（2025年4月1日から、2026年3月31日までの分）のうち、</t>
    </r>
    <r>
      <rPr>
        <u/>
        <sz val="10"/>
        <color theme="1"/>
        <rFont val="UD デジタル 教科書体 N-R"/>
        <family val="1"/>
        <charset val="128"/>
      </rPr>
      <t>「課外活動補助金申請要項」に記載する領収書等の要件を満たすものかつ直接経費として認められるもの</t>
    </r>
    <r>
      <rPr>
        <sz val="10"/>
        <color theme="1"/>
        <rFont val="UD デジタル 教科書体 N-R"/>
        <family val="1"/>
        <charset val="128"/>
      </rPr>
      <t>については、2025年度の補助金コースを決定する際の査定材料として、その金額を「直接経費」に合算します。</t>
    </r>
    <rPh sb="76" eb="80">
      <t>チョクセツケイヒ</t>
    </rPh>
    <rPh sb="83" eb="84">
      <t>ミト</t>
    </rPh>
    <phoneticPr fontId="1"/>
  </si>
  <si>
    <t>【重要】
提出する領収書があるサークルは、本用紙に領収書を貼付の上、会計報告書とあわせて期日までに学生生活課まで提出してください。
●提出方法
「領収書貼付用紙」は領収書原本を貼付して提出する必要があるため、郵送または事務所窓口提出のみとなります（MyWaseda申請フォームへの添付やメール添付は不可）
●提出期間
4月6日（月）～4月10日（金）
＊郵送の場合は当日消印有効、窓口提出は事務所開室時間(10時～16時)まで
●郵送で提出する場合の宛先
〒162-8644 新宿区戸山1-24-1 早稲田大学学生生活課＜課外デスク＞
＊「2024年度会計報告書 在中（サークル名）」と付記してください。
＊「レターパック」を利用してください。
＊郵便事故等は勘案できません。また、学生生活課から受領の連絡は行いません。到着状況は「レターパック」の追跡番号で確認してください。</t>
    <rPh sb="34" eb="39">
      <t>カイケイホウコクショ</t>
    </rPh>
    <rPh sb="113" eb="115">
      <t>マドグチ</t>
    </rPh>
    <rPh sb="158" eb="160">
      <t>キカン</t>
    </rPh>
    <rPh sb="162" eb="163">
      <t>ガツ</t>
    </rPh>
    <rPh sb="164" eb="165">
      <t>ニチ</t>
    </rPh>
    <rPh sb="166" eb="167">
      <t>ツキ</t>
    </rPh>
    <rPh sb="175" eb="176">
      <t>キン</t>
    </rPh>
    <rPh sb="179" eb="181">
      <t>ユウソウ</t>
    </rPh>
    <rPh sb="182" eb="184">
      <t>バアイ</t>
    </rPh>
    <rPh sb="192" eb="194">
      <t>マドグチ</t>
    </rPh>
    <rPh sb="197" eb="200">
      <t>ジムショ</t>
    </rPh>
    <rPh sb="200" eb="202">
      <t>カイシツ</t>
    </rPh>
    <rPh sb="202" eb="204">
      <t>ジカン</t>
    </rPh>
    <rPh sb="207" eb="209">
      <t>ジカラ</t>
    </rPh>
    <rPh sb="211" eb="212">
      <t>ジ</t>
    </rPh>
    <rPh sb="229" eb="231">
      <t>アテサキ</t>
    </rPh>
    <rPh sb="280" eb="285">
      <t>カイケイホウコクショ</t>
    </rPh>
    <rPh sb="317" eb="319">
      <t>リヨウ</t>
    </rPh>
    <rPh sb="364" eb="368">
      <t>トウチャクジョウキョウ</t>
    </rPh>
    <rPh sb="378" eb="382">
      <t>ツイセキバンゴウ</t>
    </rPh>
    <rPh sb="383" eb="385">
      <t>カクニン</t>
    </rPh>
    <phoneticPr fontId="1"/>
  </si>
  <si>
    <t xml:space="preserve">
・貼付用紙が足りない場合は、本用紙をコピーして使用してください。</t>
    <rPh sb="15" eb="18">
      <t>ホンヨウシ</t>
    </rPh>
    <phoneticPr fontId="1"/>
  </si>
  <si>
    <t>分類</t>
  </si>
  <si>
    <t>団体名</t>
  </si>
  <si>
    <t>役職</t>
    <rPh sb="0" eb="2">
      <t>ヤクショク</t>
    </rPh>
    <phoneticPr fontId="1"/>
  </si>
  <si>
    <t>課外活動補助金決定コース</t>
    <rPh sb="0" eb="7">
      <t>カガイカツドウホジョキン</t>
    </rPh>
    <rPh sb="7" eb="9">
      <t>ケッテイ</t>
    </rPh>
    <phoneticPr fontId="1"/>
  </si>
  <si>
    <t>未公認（新規申請含む）</t>
    <rPh sb="0" eb="3">
      <t>ミコウニン</t>
    </rPh>
    <rPh sb="4" eb="6">
      <t>シンキ</t>
    </rPh>
    <rPh sb="6" eb="8">
      <t>シンセイ</t>
    </rPh>
    <rPh sb="8" eb="9">
      <t>フク</t>
    </rPh>
    <phoneticPr fontId="1"/>
  </si>
  <si>
    <t>※サークル名を右の欄に別途入力してください</t>
    <rPh sb="5" eb="6">
      <t>メイ</t>
    </rPh>
    <rPh sb="7" eb="8">
      <t>ミギ</t>
    </rPh>
    <rPh sb="9" eb="10">
      <t>ラン</t>
    </rPh>
    <rPh sb="11" eb="13">
      <t>ベット</t>
    </rPh>
    <rPh sb="13" eb="15">
      <t>ニュウリョク</t>
    </rPh>
    <phoneticPr fontId="1"/>
  </si>
  <si>
    <t>幹事長</t>
    <rPh sb="0" eb="3">
      <t>カンジチョウ</t>
    </rPh>
    <phoneticPr fontId="1"/>
  </si>
  <si>
    <t>30万円コース</t>
    <rPh sb="2" eb="4">
      <t>マンエン</t>
    </rPh>
    <phoneticPr fontId="1"/>
  </si>
  <si>
    <t>A-001</t>
  </si>
  <si>
    <t>ザ・ワセダ・ガーディアン</t>
  </si>
  <si>
    <t>副幹事長</t>
    <rPh sb="0" eb="4">
      <t>フクカンジチョウ</t>
    </rPh>
    <phoneticPr fontId="1"/>
  </si>
  <si>
    <t>15万円コース</t>
    <rPh sb="2" eb="4">
      <t>マンエン</t>
    </rPh>
    <phoneticPr fontId="1"/>
  </si>
  <si>
    <t>A-002</t>
  </si>
  <si>
    <t>早稲田スポーツ新聞会</t>
  </si>
  <si>
    <t>会計</t>
    <rPh sb="0" eb="2">
      <t>カイケイ</t>
    </rPh>
    <phoneticPr fontId="1"/>
  </si>
  <si>
    <t>10万円コース</t>
    <rPh sb="2" eb="4">
      <t>マンエン</t>
    </rPh>
    <phoneticPr fontId="1"/>
  </si>
  <si>
    <t>A-003</t>
  </si>
  <si>
    <t>国際学生友好会(WIC)</t>
  </si>
  <si>
    <t>申請していない</t>
    <rPh sb="0" eb="2">
      <t>シンセイ</t>
    </rPh>
    <phoneticPr fontId="1"/>
  </si>
  <si>
    <t>A-004</t>
  </si>
  <si>
    <t>思惟の森の会</t>
  </si>
  <si>
    <t>A-005</t>
  </si>
  <si>
    <t>早稲田精神昂揚会</t>
  </si>
  <si>
    <t>A-006</t>
  </si>
  <si>
    <t>早慶戦支援会</t>
  </si>
  <si>
    <t>A-007</t>
  </si>
  <si>
    <t>国際交流虹の会</t>
  </si>
  <si>
    <t>A-008</t>
  </si>
  <si>
    <t>現代思想研究会</t>
  </si>
  <si>
    <t>A-010</t>
  </si>
  <si>
    <t>佛教青年会</t>
  </si>
  <si>
    <t>A-011</t>
  </si>
  <si>
    <t>キリスト者学生会(K.G.K.)</t>
  </si>
  <si>
    <t>A-013</t>
  </si>
  <si>
    <t>考古学研究会</t>
  </si>
  <si>
    <t>A-014</t>
  </si>
  <si>
    <t>エジプト文化研究会</t>
  </si>
  <si>
    <t>A-017</t>
  </si>
  <si>
    <t>中南米研究会</t>
  </si>
  <si>
    <t>A-018</t>
  </si>
  <si>
    <t>戦争・貧困・環境を考える会</t>
  </si>
  <si>
    <t>A-020</t>
  </si>
  <si>
    <t>国際問題研究会</t>
  </si>
  <si>
    <t>A-021</t>
  </si>
  <si>
    <t>政治経済攻究会</t>
  </si>
  <si>
    <t>A-022</t>
  </si>
  <si>
    <t>雄弁会</t>
  </si>
  <si>
    <t>A-023</t>
  </si>
  <si>
    <t>國策研究會</t>
  </si>
  <si>
    <t>A-024</t>
  </si>
  <si>
    <t>政友会</t>
  </si>
  <si>
    <t>A-025</t>
  </si>
  <si>
    <t>経済学会</t>
  </si>
  <si>
    <t>A-027</t>
  </si>
  <si>
    <t>マーケティング研究会</t>
  </si>
  <si>
    <t>A-028</t>
  </si>
  <si>
    <t>経営情報学会(MISW)</t>
  </si>
  <si>
    <t>A-031</t>
  </si>
  <si>
    <t>ローバース</t>
  </si>
  <si>
    <t>A-033</t>
  </si>
  <si>
    <t>鵬志会</t>
  </si>
  <si>
    <t>A-034</t>
  </si>
  <si>
    <t>新宿子ども会 KIDS</t>
  </si>
  <si>
    <t>A-035</t>
  </si>
  <si>
    <t>手話さあくる</t>
  </si>
  <si>
    <t>A-037</t>
  </si>
  <si>
    <t>早稲田大学広域BBS会</t>
  </si>
  <si>
    <t>A-038</t>
  </si>
  <si>
    <t>青空子ども会Ⅱ</t>
  </si>
  <si>
    <t>A-039</t>
  </si>
  <si>
    <t>生物同好会</t>
  </si>
  <si>
    <t>A-040</t>
  </si>
  <si>
    <t>天文同好会</t>
  </si>
  <si>
    <t>A-041</t>
  </si>
  <si>
    <t>繊維研究会</t>
  </si>
  <si>
    <t>A-042</t>
  </si>
  <si>
    <t>アナウンス研究会（WAK)</t>
  </si>
  <si>
    <t>A-043</t>
  </si>
  <si>
    <t>広告研究会</t>
  </si>
  <si>
    <t>A-046</t>
  </si>
  <si>
    <t>放送研究会</t>
  </si>
  <si>
    <t>A-047</t>
  </si>
  <si>
    <t>鉄道研究会(WRC)</t>
  </si>
  <si>
    <t>A-048</t>
  </si>
  <si>
    <t>ＦＭ waseda</t>
  </si>
  <si>
    <t>A-049</t>
  </si>
  <si>
    <t>写真部</t>
  </si>
  <si>
    <t>A-050</t>
  </si>
  <si>
    <t>書道会</t>
  </si>
  <si>
    <t>A-051</t>
  </si>
  <si>
    <t>美術研究創作会</t>
  </si>
  <si>
    <t>A-052</t>
  </si>
  <si>
    <t>漫画研究会</t>
  </si>
  <si>
    <t>A-053</t>
  </si>
  <si>
    <t>古美術研究会</t>
  </si>
  <si>
    <t>A-054</t>
  </si>
  <si>
    <t>名所古蹟研究会</t>
  </si>
  <si>
    <t>A-055</t>
  </si>
  <si>
    <t>絵画会</t>
  </si>
  <si>
    <t>A-056</t>
  </si>
  <si>
    <t>古寺仏研究会</t>
  </si>
  <si>
    <t>A-057</t>
  </si>
  <si>
    <t>陶芸部　稲穂窯</t>
  </si>
  <si>
    <t>A-059</t>
  </si>
  <si>
    <t>ギタークラブ</t>
  </si>
  <si>
    <t>A-060</t>
  </si>
  <si>
    <t>交響楽団</t>
  </si>
  <si>
    <t>A-061</t>
  </si>
  <si>
    <t>ザ・ナレオ</t>
  </si>
  <si>
    <t>A-062</t>
  </si>
  <si>
    <t>ハーモニカ・ソサィアティ</t>
  </si>
  <si>
    <t>A-063</t>
  </si>
  <si>
    <t>マンドリン楽部</t>
  </si>
  <si>
    <t>A-064</t>
  </si>
  <si>
    <t>オルケスタ・デ・タンゴ・ワセダ</t>
  </si>
  <si>
    <t>A-065</t>
  </si>
  <si>
    <t>ギターソサエティー</t>
  </si>
  <si>
    <t>A-066</t>
  </si>
  <si>
    <t>早稲田大学ニューオルリンズジャズクラブ</t>
  </si>
  <si>
    <t>A-067</t>
  </si>
  <si>
    <t>モダンジャズ研究会</t>
  </si>
  <si>
    <t>A-069</t>
  </si>
  <si>
    <t>アンサンブル・リドール</t>
  </si>
  <si>
    <t>A-070</t>
  </si>
  <si>
    <t>ラテン・アメリカ協会</t>
  </si>
  <si>
    <t>A-071</t>
  </si>
  <si>
    <t>早稲田大学フィルハーモニー管絃楽団</t>
  </si>
  <si>
    <t>A-072</t>
  </si>
  <si>
    <t>ショパンの会</t>
  </si>
  <si>
    <t>A-073</t>
  </si>
  <si>
    <t>フュージョンマニア</t>
  </si>
  <si>
    <t>A-074</t>
  </si>
  <si>
    <t>エレクトーンサークル　AUGMENT</t>
  </si>
  <si>
    <t>A-075</t>
  </si>
  <si>
    <t>琵琶サークル　琵沙門</t>
  </si>
  <si>
    <t>A-076</t>
  </si>
  <si>
    <t>律ゾリステン</t>
  </si>
  <si>
    <t>A-077</t>
  </si>
  <si>
    <t>早稲田ビートルマニア</t>
  </si>
  <si>
    <t>A-078</t>
  </si>
  <si>
    <t>クラシック弦楽合奏団</t>
  </si>
  <si>
    <t>A-079</t>
  </si>
  <si>
    <t>早大ピアノの会</t>
  </si>
  <si>
    <t>A-080</t>
  </si>
  <si>
    <t>合唱団</t>
  </si>
  <si>
    <t>A-081</t>
  </si>
  <si>
    <t>グリークラブ</t>
  </si>
  <si>
    <t>A-082</t>
  </si>
  <si>
    <t>コール・フリューゲル</t>
  </si>
  <si>
    <t>A-083</t>
  </si>
  <si>
    <t>混声合唱団</t>
  </si>
  <si>
    <t>A-085</t>
  </si>
  <si>
    <t>Street Corner Symphony</t>
  </si>
  <si>
    <t>A-086</t>
  </si>
  <si>
    <t>シャンソン研究会（シャン研）</t>
  </si>
  <si>
    <t>A-087</t>
  </si>
  <si>
    <t>音楽サークル　星空</t>
  </si>
  <si>
    <t>A-088</t>
  </si>
  <si>
    <t>Choco Crunch</t>
  </si>
  <si>
    <t>A-089</t>
  </si>
  <si>
    <t>観世会</t>
  </si>
  <si>
    <t>A-090</t>
  </si>
  <si>
    <t>狂言研究会</t>
  </si>
  <si>
    <t>A-091</t>
  </si>
  <si>
    <t>虚竹会</t>
  </si>
  <si>
    <t>A-092</t>
  </si>
  <si>
    <t>金春会</t>
  </si>
  <si>
    <t>A-094</t>
  </si>
  <si>
    <t>竹友会</t>
  </si>
  <si>
    <t>A-095</t>
  </si>
  <si>
    <t>稲吟会</t>
  </si>
  <si>
    <t>A-096</t>
  </si>
  <si>
    <t>長唄研究会</t>
  </si>
  <si>
    <t>A-097</t>
  </si>
  <si>
    <t>映画研究会</t>
  </si>
  <si>
    <t>A-098</t>
  </si>
  <si>
    <t>演劇研究会</t>
  </si>
  <si>
    <t>A-099</t>
  </si>
  <si>
    <t>歌舞伎研究会</t>
  </si>
  <si>
    <t>A-100</t>
  </si>
  <si>
    <t>劇団「こだま」</t>
  </si>
  <si>
    <t>A-101</t>
  </si>
  <si>
    <t>稲門シナリオ研究会</t>
  </si>
  <si>
    <t>A-102</t>
  </si>
  <si>
    <t>舞台美術研究会</t>
  </si>
  <si>
    <t>A-103</t>
  </si>
  <si>
    <t>演劇倶楽部</t>
  </si>
  <si>
    <t>A-104</t>
  </si>
  <si>
    <t>アニメーション同好会 (WALT)</t>
  </si>
  <si>
    <t>A-105</t>
  </si>
  <si>
    <t>（劇団）てあとろ５０’</t>
  </si>
  <si>
    <t>A-106</t>
  </si>
  <si>
    <t>アニメーション研究会</t>
  </si>
  <si>
    <t>A-107</t>
  </si>
  <si>
    <t>怪獣同盟</t>
  </si>
  <si>
    <t>A-108</t>
  </si>
  <si>
    <t>生花研究会</t>
  </si>
  <si>
    <t>A-109</t>
  </si>
  <si>
    <t>囲碁会</t>
  </si>
  <si>
    <t>A-110</t>
  </si>
  <si>
    <t>茶道研究会</t>
  </si>
  <si>
    <t>A-111</t>
  </si>
  <si>
    <t>かるた会</t>
  </si>
  <si>
    <t>A-112</t>
  </si>
  <si>
    <t>将棋部</t>
  </si>
  <si>
    <t>A-114</t>
  </si>
  <si>
    <t>マジッククラブ</t>
  </si>
  <si>
    <t>A-115</t>
  </si>
  <si>
    <t>落語研究会</t>
  </si>
  <si>
    <t>A-116</t>
  </si>
  <si>
    <t>少女マンガ研究会</t>
  </si>
  <si>
    <t>A-117</t>
  </si>
  <si>
    <t>パントマイム 舞☆夢☆踏 (ﾏｲﾑﾄｳ)</t>
  </si>
  <si>
    <t>A-118</t>
  </si>
  <si>
    <t>津軽三味線愛好会　三津巴</t>
  </si>
  <si>
    <t>A-120</t>
  </si>
  <si>
    <t>早稲田大学宝塚歌劇を愛する会 (早宝会)</t>
  </si>
  <si>
    <t>A-121</t>
  </si>
  <si>
    <t>軟式野球部</t>
  </si>
  <si>
    <t>A-122</t>
  </si>
  <si>
    <t>早稲田大学GWラグビークラブ</t>
  </si>
  <si>
    <t>A-123</t>
  </si>
  <si>
    <t>卓球同好会(WTTS)</t>
  </si>
  <si>
    <t>A-124</t>
  </si>
  <si>
    <t>バドミントン同好会</t>
  </si>
  <si>
    <t>A-125</t>
  </si>
  <si>
    <t>バレーボール同好会</t>
  </si>
  <si>
    <t>A-126</t>
  </si>
  <si>
    <t>ボウリングクラブ</t>
  </si>
  <si>
    <t>A-127</t>
  </si>
  <si>
    <t>ポーラーベアーズアイスホッケークラブ</t>
  </si>
  <si>
    <t>A-128</t>
  </si>
  <si>
    <t>ワイヴァーンズ　クリケットクラブ</t>
  </si>
  <si>
    <t>A-130</t>
  </si>
  <si>
    <t>ちょこLet's</t>
  </si>
  <si>
    <t>A-131</t>
  </si>
  <si>
    <t>米式蹴球倶楽部　レブルス</t>
  </si>
  <si>
    <t>A-132</t>
  </si>
  <si>
    <t>歩行会</t>
  </si>
  <si>
    <t>A-133</t>
  </si>
  <si>
    <t>オリエンテーリングクラブ</t>
  </si>
  <si>
    <t>A-134</t>
  </si>
  <si>
    <t>岳文会</t>
  </si>
  <si>
    <t>A-135</t>
  </si>
  <si>
    <t>サイクリングクラブ</t>
  </si>
  <si>
    <t>A-136</t>
  </si>
  <si>
    <t>山岳アルコウ会</t>
  </si>
  <si>
    <t>A-137</t>
  </si>
  <si>
    <t>世界旅行研究会</t>
  </si>
  <si>
    <t>A-138</t>
  </si>
  <si>
    <t>旅の会</t>
  </si>
  <si>
    <t>A-139</t>
  </si>
  <si>
    <t>探検部</t>
  </si>
  <si>
    <t>A-140</t>
  </si>
  <si>
    <t>なべの会</t>
  </si>
  <si>
    <t>A-141</t>
  </si>
  <si>
    <t>山の会</t>
  </si>
  <si>
    <t>A-143</t>
  </si>
  <si>
    <t>山小屋研究会</t>
  </si>
  <si>
    <t>A-144</t>
  </si>
  <si>
    <t>登歩の会</t>
  </si>
  <si>
    <t>A-145</t>
  </si>
  <si>
    <t>ワンダーサイクリング同好会</t>
  </si>
  <si>
    <t>A-146</t>
  </si>
  <si>
    <t>合気道会</t>
  </si>
  <si>
    <t>A-147</t>
  </si>
  <si>
    <t>空手道誠心会</t>
  </si>
  <si>
    <t>A-148</t>
  </si>
  <si>
    <t>剣道同好会</t>
  </si>
  <si>
    <t>A-149</t>
  </si>
  <si>
    <t>スポーツ合気道クラブ</t>
  </si>
  <si>
    <t>A-150</t>
  </si>
  <si>
    <t>早稲田ITFテコンドークラブ</t>
  </si>
  <si>
    <t>A-152</t>
  </si>
  <si>
    <t>釣の会</t>
  </si>
  <si>
    <t>A-153</t>
  </si>
  <si>
    <t>トランポリン同好会</t>
  </si>
  <si>
    <t>A-154</t>
  </si>
  <si>
    <t>早大バーベルクラブ</t>
  </si>
  <si>
    <t>A-155</t>
  </si>
  <si>
    <t>競技ダンス部（WBDC)</t>
  </si>
  <si>
    <t>A-156</t>
  </si>
  <si>
    <t>トライアスロンチームノースウエスト</t>
  </si>
  <si>
    <t>A-157</t>
  </si>
  <si>
    <t>プロ野球ファンサークル　セレクト</t>
  </si>
  <si>
    <t>A-158</t>
  </si>
  <si>
    <t>スガ・スキークラブ</t>
  </si>
  <si>
    <t>A-159</t>
  </si>
  <si>
    <t>陸上競技同好会</t>
  </si>
  <si>
    <t>A-160</t>
  </si>
  <si>
    <t>アルティメット部</t>
  </si>
  <si>
    <t>A-161</t>
  </si>
  <si>
    <t>ネージュ・スキークラブ　　　　</t>
  </si>
  <si>
    <t>A-165</t>
  </si>
  <si>
    <t>スペイン語研究会</t>
  </si>
  <si>
    <t>A-166</t>
  </si>
  <si>
    <t>邦文速記研究会</t>
  </si>
  <si>
    <t>A-167</t>
  </si>
  <si>
    <t>英語部 (WESA)</t>
  </si>
  <si>
    <t>A-168</t>
  </si>
  <si>
    <t>早稲田大学現代文学会</t>
  </si>
  <si>
    <t>A-169</t>
  </si>
  <si>
    <t>詩人会</t>
  </si>
  <si>
    <t>A-170</t>
  </si>
  <si>
    <t>児童文化研究会</t>
  </si>
  <si>
    <t>A-171</t>
  </si>
  <si>
    <t>早稲田文芸会</t>
  </si>
  <si>
    <t>A-172</t>
  </si>
  <si>
    <t>短歌会</t>
  </si>
  <si>
    <t>A-176</t>
  </si>
  <si>
    <t>ワセダミステリ・クラブ</t>
  </si>
  <si>
    <t>A-177</t>
  </si>
  <si>
    <t>児童文学研究会</t>
  </si>
  <si>
    <t>A-178</t>
  </si>
  <si>
    <t>早稲田大学軟式庭球同好会</t>
  </si>
  <si>
    <t>A-179</t>
  </si>
  <si>
    <t>環境ロドリゲス</t>
  </si>
  <si>
    <t>A-180</t>
  </si>
  <si>
    <t>珠算部</t>
  </si>
  <si>
    <t>A-181</t>
  </si>
  <si>
    <t>Yes,We Are</t>
  </si>
  <si>
    <t>A-182</t>
  </si>
  <si>
    <t>ハング・パラグライダークラブ</t>
  </si>
  <si>
    <t>A-183</t>
  </si>
  <si>
    <t>シネマプロダクション（シネプロ)</t>
  </si>
  <si>
    <t>A-184</t>
  </si>
  <si>
    <t>早稲田大学居合道部</t>
  </si>
  <si>
    <t>A-185</t>
  </si>
  <si>
    <t>オリジナルソング研究会 オールウェイズ</t>
  </si>
  <si>
    <t>A-186</t>
  </si>
  <si>
    <t>早稲田大学戦史研究会</t>
  </si>
  <si>
    <t>A-187</t>
  </si>
  <si>
    <t>早稲田大学フィンスイミングチーム SIX BEAT</t>
  </si>
  <si>
    <t>A-188</t>
  </si>
  <si>
    <t>早稲田大学水上スキー部</t>
  </si>
  <si>
    <t>B-000</t>
  </si>
  <si>
    <t>全国早稲田学生会連盟</t>
  </si>
  <si>
    <t>B-001</t>
  </si>
  <si>
    <t>北海道学生稲門会</t>
  </si>
  <si>
    <t>B-012</t>
  </si>
  <si>
    <t>群馬学生稲門会</t>
  </si>
  <si>
    <t>B-016</t>
  </si>
  <si>
    <t>山梨学生稲門会</t>
  </si>
  <si>
    <t>B-031</t>
  </si>
  <si>
    <t>鳥取学生稲門会</t>
  </si>
  <si>
    <t>B-034</t>
  </si>
  <si>
    <t>和歌山学生稲門会</t>
  </si>
  <si>
    <t>B-036</t>
  </si>
  <si>
    <t>山口学生稲門会</t>
  </si>
  <si>
    <t>B-040</t>
  </si>
  <si>
    <t>福岡学生稲門会</t>
  </si>
  <si>
    <t>B-043</t>
  </si>
  <si>
    <t>長崎学生稲門会</t>
  </si>
  <si>
    <t>B-045</t>
  </si>
  <si>
    <t>熊本学生稲門会</t>
  </si>
  <si>
    <t>B-049</t>
  </si>
  <si>
    <t>関西学生稲門会</t>
  </si>
  <si>
    <t>B-051</t>
  </si>
  <si>
    <t>岡山学生稲門会</t>
  </si>
  <si>
    <t>B-053</t>
  </si>
  <si>
    <t>佐賀学生稲門会</t>
  </si>
  <si>
    <t>B-054</t>
  </si>
  <si>
    <t>鹿児島学生稲門会</t>
  </si>
  <si>
    <t>C-001</t>
  </si>
  <si>
    <t>早稲田大学マスコミ研究会</t>
  </si>
  <si>
    <t>C-003</t>
  </si>
  <si>
    <t>出版甲子園実行委員会</t>
  </si>
  <si>
    <t>C-004</t>
  </si>
  <si>
    <t>出版団体 ENJI</t>
  </si>
  <si>
    <t>C-007</t>
  </si>
  <si>
    <t>教育・教職サークルT-team(T-team)</t>
  </si>
  <si>
    <t>C-010</t>
  </si>
  <si>
    <t>東洋思想研究会(東思研)</t>
  </si>
  <si>
    <t>C-012</t>
  </si>
  <si>
    <t>早稲田大学済蔭団</t>
  </si>
  <si>
    <t>C-013</t>
  </si>
  <si>
    <t>史学舎</t>
  </si>
  <si>
    <t>C-014</t>
  </si>
  <si>
    <t>歴史文化研究会</t>
  </si>
  <si>
    <t>C-015</t>
  </si>
  <si>
    <t>地理学研究会</t>
  </si>
  <si>
    <t>C-018</t>
  </si>
  <si>
    <t>早稲田大学バンザイ同盟</t>
  </si>
  <si>
    <t>C-019</t>
  </si>
  <si>
    <t>早稲田大学株式投資サークルForward</t>
  </si>
  <si>
    <t>C-022</t>
  </si>
  <si>
    <t>人物研究会</t>
  </si>
  <si>
    <t>C-024</t>
  </si>
  <si>
    <t>ひまわり子ども会</t>
  </si>
  <si>
    <t>C-025</t>
  </si>
  <si>
    <t>早稲田リンクス</t>
  </si>
  <si>
    <t>C-027</t>
  </si>
  <si>
    <t>池袋子ども会</t>
  </si>
  <si>
    <t>C-028</t>
  </si>
  <si>
    <t>まっちワークグループ早稲田</t>
  </si>
  <si>
    <t>C-029</t>
  </si>
  <si>
    <t>GLOW</t>
  </si>
  <si>
    <t>C-030</t>
  </si>
  <si>
    <t>地域猫の会（わせねこ）</t>
  </si>
  <si>
    <t>C-032</t>
  </si>
  <si>
    <t>まつりスタッフ　</t>
  </si>
  <si>
    <t>C-033</t>
  </si>
  <si>
    <t>哲学・批評研究会　</t>
  </si>
  <si>
    <t>C-034</t>
  </si>
  <si>
    <t>資格ゲッターズ</t>
  </si>
  <si>
    <t>C-035</t>
  </si>
  <si>
    <t>学食研究会</t>
  </si>
  <si>
    <t>C-036</t>
  </si>
  <si>
    <t>早稲田イルミネーションプロジェクト実行委員会</t>
  </si>
  <si>
    <t>C-038</t>
  </si>
  <si>
    <t>わせプロ</t>
  </si>
  <si>
    <t>C-039</t>
  </si>
  <si>
    <t>Waseda Association of Debaters</t>
  </si>
  <si>
    <t>C-040</t>
  </si>
  <si>
    <t>Walkin'</t>
  </si>
  <si>
    <t>C-042</t>
  </si>
  <si>
    <t>早稲田大学韓国人学生会</t>
  </si>
  <si>
    <t>C-043</t>
  </si>
  <si>
    <t>学生 NGO EST</t>
  </si>
  <si>
    <t>C-045</t>
  </si>
  <si>
    <t>早稲田大学POST</t>
  </si>
  <si>
    <t>C-046</t>
  </si>
  <si>
    <t>化石鉱物研究会(化鉱研)</t>
  </si>
  <si>
    <t>C-047</t>
  </si>
  <si>
    <t>コンピュータ研究会・WINC</t>
  </si>
  <si>
    <t>C-049</t>
  </si>
  <si>
    <t>早稲田大学ＲＯＢＯＳＴＥＰ</t>
  </si>
  <si>
    <t>C-050</t>
  </si>
  <si>
    <t>企画集団　便利舎</t>
  </si>
  <si>
    <t>C-051</t>
  </si>
  <si>
    <t>ＵＢＣ</t>
  </si>
  <si>
    <t>C-053</t>
  </si>
  <si>
    <t>Wａｓｅｄａ　Ｍｕｓｉｃ　Ｒｅｃｏｒｄｓ</t>
  </si>
  <si>
    <t>C-054</t>
  </si>
  <si>
    <t>ART OFFICE</t>
  </si>
  <si>
    <t>C-057</t>
  </si>
  <si>
    <t>Music and Communication くされエン</t>
  </si>
  <si>
    <t>C-058</t>
  </si>
  <si>
    <t>New Music Club (NMC)</t>
  </si>
  <si>
    <t>C-059</t>
  </si>
  <si>
    <t>フリーウェイミュージック</t>
  </si>
  <si>
    <t>C-060</t>
  </si>
  <si>
    <t>Music &amp; Movie Gatherin' (MMG)</t>
  </si>
  <si>
    <t>C-061</t>
  </si>
  <si>
    <t>ミュージックファンクラブ (MFC)</t>
  </si>
  <si>
    <t>C-062</t>
  </si>
  <si>
    <t>Modern Music Troop (MMT)</t>
  </si>
  <si>
    <t>C-063</t>
  </si>
  <si>
    <t>早稲田 Music Inn</t>
  </si>
  <si>
    <t>C-066</t>
  </si>
  <si>
    <t>BRITISH BEAT CLUB</t>
  </si>
  <si>
    <t>C-067</t>
  </si>
  <si>
    <t>Waseda Folksong Society（WFS)</t>
  </si>
  <si>
    <t>C-068</t>
  </si>
  <si>
    <t>魁響(さきがけひびき)</t>
  </si>
  <si>
    <t>C-069</t>
  </si>
  <si>
    <t>ROCK STEADY WASEDA</t>
  </si>
  <si>
    <t>C-071</t>
  </si>
  <si>
    <t>ヨコシマ。</t>
  </si>
  <si>
    <t>C-073</t>
  </si>
  <si>
    <t>口笛サークル　ことリップ</t>
  </si>
  <si>
    <t>C-074</t>
  </si>
  <si>
    <t>下掛宝生会</t>
  </si>
  <si>
    <t>C-076</t>
  </si>
  <si>
    <t>早稲田大学宝生会</t>
  </si>
  <si>
    <t>C-077</t>
  </si>
  <si>
    <t>オムニバス</t>
  </si>
  <si>
    <t>C-078</t>
  </si>
  <si>
    <t>幸福デジャヴ</t>
  </si>
  <si>
    <t>C-079</t>
  </si>
  <si>
    <t>（劇団）くるめるシアター</t>
  </si>
  <si>
    <t>C-080</t>
  </si>
  <si>
    <t>（劇団）コンツェルト</t>
  </si>
  <si>
    <t>C-082</t>
  </si>
  <si>
    <t>（劇団）森</t>
  </si>
  <si>
    <t>C-086</t>
  </si>
  <si>
    <t>（劇団）へちま</t>
  </si>
  <si>
    <t>C-087</t>
  </si>
  <si>
    <t>（劇団）桃源郷行きたい</t>
  </si>
  <si>
    <t>C-088</t>
  </si>
  <si>
    <t>（劇団）虚仮華紙</t>
  </si>
  <si>
    <t>C-089</t>
  </si>
  <si>
    <t>（劇団）SWANDIVE</t>
  </si>
  <si>
    <t>C-090</t>
  </si>
  <si>
    <t>鶴の一声</t>
  </si>
  <si>
    <t>C-091</t>
  </si>
  <si>
    <t>生粋工房</t>
  </si>
  <si>
    <t>C-092</t>
  </si>
  <si>
    <t>ＰＯＰ３　</t>
  </si>
  <si>
    <t>C-093</t>
  </si>
  <si>
    <t>システマ・アンジェリカ</t>
  </si>
  <si>
    <t>C-094</t>
  </si>
  <si>
    <t>カリフォルニアロール（CFロール）</t>
  </si>
  <si>
    <t>C-095</t>
  </si>
  <si>
    <t>SEIREN</t>
  </si>
  <si>
    <t>C-096</t>
  </si>
  <si>
    <t>イイムラR</t>
  </si>
  <si>
    <t>C-097</t>
  </si>
  <si>
    <t>WAM</t>
  </si>
  <si>
    <t>C-098</t>
  </si>
  <si>
    <t>あかなし</t>
  </si>
  <si>
    <t>C-099</t>
  </si>
  <si>
    <t>劇団24区</t>
  </si>
  <si>
    <t>C-101</t>
  </si>
  <si>
    <t>CINEMAX SIDEVARG</t>
  </si>
  <si>
    <t>C-102</t>
  </si>
  <si>
    <t>映像製作集団 浪人街</t>
  </si>
  <si>
    <t>C-103</t>
  </si>
  <si>
    <t>早稲田大学アニメ声優会</t>
  </si>
  <si>
    <t>C-104</t>
  </si>
  <si>
    <t>シネサイクル　叛頭脳</t>
  </si>
  <si>
    <t>C-106</t>
  </si>
  <si>
    <t>映画制作グループ☆ひぐらし</t>
  </si>
  <si>
    <t>C-108</t>
  </si>
  <si>
    <t>わかものきもの会</t>
  </si>
  <si>
    <t>C-109</t>
  </si>
  <si>
    <t>クイズ研究会（W.Q.S.S)</t>
  </si>
  <si>
    <t>C-110</t>
  </si>
  <si>
    <t>ﾃｰﾌﾞﾙﾄｰｸRPGｻｰｸﾙ　乾坤堂</t>
  </si>
  <si>
    <t>C-111</t>
  </si>
  <si>
    <t>早稲田寄席演芸研究会</t>
  </si>
  <si>
    <t>C-112</t>
  </si>
  <si>
    <t>シミュレーションゲーム研究会</t>
  </si>
  <si>
    <t>C-113</t>
  </si>
  <si>
    <t>写団シャレード</t>
  </si>
  <si>
    <t>C-114</t>
  </si>
  <si>
    <t>お笑い工房　LUDO</t>
  </si>
  <si>
    <t>C-116</t>
  </si>
  <si>
    <t>いじけっ子マンガ集団</t>
  </si>
  <si>
    <t>C-117</t>
  </si>
  <si>
    <t>珈琲研究会</t>
  </si>
  <si>
    <t>C-118</t>
  </si>
  <si>
    <t>踊り侍</t>
  </si>
  <si>
    <t>C-121</t>
  </si>
  <si>
    <t>早稲田大学よさこいチーム東京花火</t>
  </si>
  <si>
    <t>C-122</t>
  </si>
  <si>
    <t>SHOCKERS</t>
  </si>
  <si>
    <t>C-123</t>
  </si>
  <si>
    <t>早稲田大学ドラえもん研究会</t>
  </si>
  <si>
    <t>C-124</t>
  </si>
  <si>
    <t>早稲田大学ガンダム研究会</t>
  </si>
  <si>
    <t>C-128</t>
  </si>
  <si>
    <t>早稲田大学ディズニー研究会</t>
  </si>
  <si>
    <t>C-130</t>
  </si>
  <si>
    <t>オーストラリアンテニスクラブ</t>
  </si>
  <si>
    <t>C-131</t>
  </si>
  <si>
    <t>オレンジテニスクラブ</t>
  </si>
  <si>
    <t>C-134</t>
  </si>
  <si>
    <t>城北テニスクラブ</t>
  </si>
  <si>
    <t>C-136</t>
  </si>
  <si>
    <t>Truthテニスクラブ</t>
  </si>
  <si>
    <t>C-138</t>
  </si>
  <si>
    <t>稲友テニスクラブ</t>
  </si>
  <si>
    <t>C-139</t>
  </si>
  <si>
    <t>早大フォーティラブ</t>
  </si>
  <si>
    <t>C-142</t>
  </si>
  <si>
    <t>ヤング庭球同好会（硬式部）</t>
  </si>
  <si>
    <t>C-143</t>
  </si>
  <si>
    <t>ヤングテニス同好会（軟式部）</t>
  </si>
  <si>
    <t>C-144</t>
  </si>
  <si>
    <t>グリーンテニスクラブ</t>
  </si>
  <si>
    <t>C-146</t>
  </si>
  <si>
    <t>ギャラクシーテニスクラブ</t>
  </si>
  <si>
    <t>C-147</t>
  </si>
  <si>
    <t>早稲田大学ファンタスティックテニスクラブ</t>
  </si>
  <si>
    <t>C-148</t>
  </si>
  <si>
    <t>早稲田大学ホームテニスクラブ</t>
  </si>
  <si>
    <t>C-153</t>
  </si>
  <si>
    <t>早大テニスクラブ</t>
  </si>
  <si>
    <t>C-154</t>
  </si>
  <si>
    <t>江戸の会（軟式野球同好会）</t>
  </si>
  <si>
    <t>C-155</t>
  </si>
  <si>
    <t>グランドスラム</t>
  </si>
  <si>
    <t>C-157</t>
  </si>
  <si>
    <t>早稲田大学女子軟式野球部ＷＡＳＥＢＩ</t>
  </si>
  <si>
    <t>C-160</t>
  </si>
  <si>
    <t>パディ・ゴルフクラブ　　　　　</t>
  </si>
  <si>
    <t>C-161</t>
  </si>
  <si>
    <t>ボギーゴルフクラブ</t>
  </si>
  <si>
    <t>C-165</t>
  </si>
  <si>
    <t>こんぷれっくすラグビーチーム</t>
  </si>
  <si>
    <t>C-167</t>
  </si>
  <si>
    <t>蹴球同好会</t>
  </si>
  <si>
    <t>C-168</t>
  </si>
  <si>
    <t>サッカー観戦会</t>
  </si>
  <si>
    <t>C-169</t>
  </si>
  <si>
    <t>稲穂キッカーズ　</t>
  </si>
  <si>
    <t>C-170</t>
  </si>
  <si>
    <t>リヴェルデーデ</t>
  </si>
  <si>
    <t>C-171</t>
  </si>
  <si>
    <t>メインストリートF.C</t>
  </si>
  <si>
    <t>C-172</t>
  </si>
  <si>
    <t>KatZwei</t>
  </si>
  <si>
    <t>C-173</t>
  </si>
  <si>
    <t>Espiga</t>
  </si>
  <si>
    <t>C-174</t>
  </si>
  <si>
    <t>ディエンテ早稲田</t>
  </si>
  <si>
    <t>C-175</t>
  </si>
  <si>
    <t>Tonsoku</t>
  </si>
  <si>
    <t>C-176</t>
  </si>
  <si>
    <t>アンカー・バレーボールクラブ</t>
  </si>
  <si>
    <t>C-177</t>
  </si>
  <si>
    <t>ミュンヘンハンドボール同好会</t>
  </si>
  <si>
    <t>C-178</t>
  </si>
  <si>
    <t>ヤングバドミントン同好会</t>
  </si>
  <si>
    <t>C-179</t>
  </si>
  <si>
    <t>スカッシュクラブ</t>
  </si>
  <si>
    <t>C-180</t>
  </si>
  <si>
    <t>スポーツラバーズ</t>
  </si>
  <si>
    <t>C-181</t>
  </si>
  <si>
    <t>球愛会</t>
  </si>
  <si>
    <t>C-185</t>
  </si>
  <si>
    <t>かくれんぼ同窓会</t>
  </si>
  <si>
    <t>C-187</t>
  </si>
  <si>
    <t>空手道糸東会　　　　　　　　　</t>
  </si>
  <si>
    <t>C-188</t>
  </si>
  <si>
    <t>早稲田大学大道塾</t>
  </si>
  <si>
    <t>C-189</t>
  </si>
  <si>
    <t>サジテリアス・アーチェリークラブ</t>
  </si>
  <si>
    <t>C-191</t>
  </si>
  <si>
    <t>防具空手道会</t>
  </si>
  <si>
    <t>C-197</t>
  </si>
  <si>
    <t>早稲田大学弓道同好会</t>
  </si>
  <si>
    <t>C-199</t>
  </si>
  <si>
    <t>スキー同好会（W.S.S.)</t>
  </si>
  <si>
    <t>C-200</t>
  </si>
  <si>
    <t>ツェルマット・スキークラブ</t>
  </si>
  <si>
    <t>C-201</t>
  </si>
  <si>
    <t>ベーシック・スキークラブ</t>
  </si>
  <si>
    <t>C-202</t>
  </si>
  <si>
    <t>モンブラン　スキークラブ　　　</t>
  </si>
  <si>
    <t>C-203</t>
  </si>
  <si>
    <t>ベル・スキークラブ</t>
  </si>
  <si>
    <t>C-205</t>
  </si>
  <si>
    <t>シュプリンゲンスキークラブ</t>
  </si>
  <si>
    <t>C-207</t>
  </si>
  <si>
    <t>ﾌﾗﾒﾝｺ集団 iVAMOS!</t>
  </si>
  <si>
    <t>C-208</t>
  </si>
  <si>
    <t>Waseda University　Breakerz(W.U.B）</t>
  </si>
  <si>
    <t>C-209</t>
  </si>
  <si>
    <t>早稲田大学ジャズダンスサークルOasis</t>
  </si>
  <si>
    <t>C-210</t>
  </si>
  <si>
    <t>Dance Team Brilliant Pinks</t>
  </si>
  <si>
    <t>C-212</t>
  </si>
  <si>
    <t>早稲田大学ハワイ民族舞踊研究会</t>
  </si>
  <si>
    <t>C-213</t>
  </si>
  <si>
    <t>ダンスララバイ　熱視線(ﾈｯｼｾﾝ）</t>
  </si>
  <si>
    <t>C-214</t>
  </si>
  <si>
    <t>ＳｅｓＳｉｏｎ</t>
  </si>
  <si>
    <t>C-216</t>
  </si>
  <si>
    <t>TAP-LOVERS　(タップラバーズ)</t>
  </si>
  <si>
    <t>C-217</t>
  </si>
  <si>
    <t>早稲田大学　下駄っぱーず</t>
  </si>
  <si>
    <t>C-218</t>
  </si>
  <si>
    <t>早稲田大学バレエサークル　Ｃiel　</t>
  </si>
  <si>
    <t>C-220</t>
  </si>
  <si>
    <t>早稲田大学ベリーダンスサークル SARAH belly</t>
  </si>
  <si>
    <t>C-221</t>
  </si>
  <si>
    <t>WASEDA　BALLERS</t>
  </si>
  <si>
    <t>C-222</t>
  </si>
  <si>
    <t>早稲田大学チアダンスチームMYNX</t>
  </si>
  <si>
    <t>C-224</t>
  </si>
  <si>
    <t>早稲田大学フラッシュモ部</t>
  </si>
  <si>
    <t>C-225</t>
  </si>
  <si>
    <t>水中クラブ　　　　　　　　　　</t>
  </si>
  <si>
    <t>C-226</t>
  </si>
  <si>
    <t>水泳同好会（早水会）　　　　　　　　　　</t>
  </si>
  <si>
    <t>C-227</t>
  </si>
  <si>
    <t>潜水会</t>
  </si>
  <si>
    <t>C-228</t>
  </si>
  <si>
    <t>スクーバダイビングチームあんこう</t>
  </si>
  <si>
    <t>C-230</t>
  </si>
  <si>
    <t>ウィンドサーフィン部</t>
  </si>
  <si>
    <t>C-232</t>
  </si>
  <si>
    <t>乗馬倶楽部　　　　　　　　　　</t>
  </si>
  <si>
    <t>C-234</t>
  </si>
  <si>
    <t>ライフセービングクラブ（W.L.S.C.)　　　　</t>
  </si>
  <si>
    <t>C-235</t>
  </si>
  <si>
    <t>早稲田大学チアリーダーズFALCONS　</t>
  </si>
  <si>
    <t>C-238</t>
  </si>
  <si>
    <t>早稲田大学ジャグリングサークル～infinitｙ～</t>
  </si>
  <si>
    <t>C-241</t>
  </si>
  <si>
    <t>早稲田スタンドアップパドル</t>
  </si>
  <si>
    <t>C-244</t>
  </si>
  <si>
    <t>特撮評議会</t>
  </si>
  <si>
    <t>C-245</t>
  </si>
  <si>
    <t>Paddy Fielders' Tea Party（実用英語）</t>
  </si>
  <si>
    <t>C-246</t>
  </si>
  <si>
    <t>中国語学習会</t>
  </si>
  <si>
    <t>C-249</t>
  </si>
  <si>
    <t>ポケモンだいすきクラブ早稲田支部</t>
  </si>
  <si>
    <t>C-251</t>
  </si>
  <si>
    <t>早稲田大学クレストテニスクラブ</t>
  </si>
  <si>
    <t>C-252</t>
  </si>
  <si>
    <t>チャータースクールへの教育支援～ハワイ編～</t>
  </si>
  <si>
    <t>C-253</t>
  </si>
  <si>
    <t>ラオス学校建設教育支援プロジェクト～スーン～</t>
  </si>
  <si>
    <t>C-254</t>
  </si>
  <si>
    <t>早稲田台湾留学生会</t>
  </si>
  <si>
    <t>C-255</t>
  </si>
  <si>
    <t>早稲田大学装束研究会</t>
  </si>
  <si>
    <t>C-256</t>
  </si>
  <si>
    <t>早稲田大学弓道サークル本陣</t>
  </si>
  <si>
    <t>C-257</t>
  </si>
  <si>
    <t>早稲田大学ケルト音楽同好会</t>
  </si>
  <si>
    <t>C-258</t>
  </si>
  <si>
    <t>早稲田大学躰道会</t>
  </si>
  <si>
    <t>C-259</t>
  </si>
  <si>
    <t>わせだ吹奏楽同好会（緩）</t>
  </si>
  <si>
    <t>C-260</t>
  </si>
  <si>
    <t>早稲田大学気仙沼チーム</t>
  </si>
  <si>
    <t>C-261</t>
  </si>
  <si>
    <t>アトム通貨実行委員会　早稲田・高田馬場支部</t>
  </si>
  <si>
    <t>C-263</t>
  </si>
  <si>
    <t>ハイソサエティ・オーケストラ</t>
  </si>
  <si>
    <t>C-264</t>
  </si>
  <si>
    <t>まつだい早稲田じょんのびクラブ</t>
  </si>
  <si>
    <t>C-265</t>
  </si>
  <si>
    <t>農楽塾</t>
  </si>
  <si>
    <t>C-266</t>
  </si>
  <si>
    <t>スポーツチャンバラ剣隼会</t>
  </si>
  <si>
    <t>C-268</t>
  </si>
  <si>
    <t>DOORS-日越交流プロジェクト-</t>
  </si>
  <si>
    <t>C-269</t>
  </si>
  <si>
    <t>日本コリア未来プロジェクト</t>
  </si>
  <si>
    <t>C-270</t>
  </si>
  <si>
    <t>F.S.S.テニスクラブ</t>
  </si>
  <si>
    <t>C-271</t>
  </si>
  <si>
    <t>バンカライズム-万色主義-</t>
  </si>
  <si>
    <t>C-272</t>
  </si>
  <si>
    <t>ももキュン☆</t>
  </si>
  <si>
    <t>C-273</t>
  </si>
  <si>
    <t>早稲田大学筝曲研究会</t>
  </si>
  <si>
    <t>C-274</t>
  </si>
  <si>
    <t>早稲田大学女声合唱団</t>
  </si>
  <si>
    <t>C-275</t>
  </si>
  <si>
    <t>早稲田大学フットサル部</t>
  </si>
  <si>
    <t>C-276</t>
  </si>
  <si>
    <t>ロータリーの会</t>
  </si>
  <si>
    <t>C-277</t>
  </si>
  <si>
    <t>Twinkle</t>
  </si>
  <si>
    <t>C-278</t>
  </si>
  <si>
    <t>DA早稲田大学ハリー・ポッター研究会</t>
  </si>
  <si>
    <t>C-280</t>
  </si>
  <si>
    <t>ゆるりと！てつがく！</t>
  </si>
  <si>
    <t>C-282</t>
  </si>
  <si>
    <t>早稲田大学書道パフォーマンスサークル漣</t>
  </si>
  <si>
    <t>C-283</t>
  </si>
  <si>
    <t>早稲田マリンヨットクラブ</t>
  </si>
  <si>
    <t>C-284</t>
  </si>
  <si>
    <t>愁文会</t>
  </si>
  <si>
    <t>C-285</t>
  </si>
  <si>
    <t>Rethink Fashion Waseda</t>
  </si>
  <si>
    <t>C-286</t>
  </si>
  <si>
    <t>狩り部</t>
  </si>
  <si>
    <t>C-287</t>
  </si>
  <si>
    <t>早稲田大学阿波おどりサークル　早稲田連【Team A.W.A】</t>
  </si>
  <si>
    <t>C-288</t>
  </si>
  <si>
    <t>NEW (Next Entrepreneurs Waseda)</t>
  </si>
  <si>
    <t>C-289</t>
  </si>
  <si>
    <t>WASElele</t>
  </si>
  <si>
    <t>C-290</t>
  </si>
  <si>
    <t>早稲田大学レトロ研究会</t>
  </si>
  <si>
    <t>C-291</t>
  </si>
  <si>
    <t>早稲田大学スノーボード同好会 WSB</t>
  </si>
  <si>
    <t>C-293</t>
  </si>
  <si>
    <t>早稲田農業サークルこだま</t>
  </si>
  <si>
    <t>C-294</t>
  </si>
  <si>
    <t>早稲田大学K-POPカバーダンスサークルParfum</t>
  </si>
  <si>
    <t>C-295</t>
  </si>
  <si>
    <t>早稲田キャリア研究会</t>
  </si>
  <si>
    <t>C-296</t>
  </si>
  <si>
    <t>FC GUSTA</t>
  </si>
  <si>
    <t>C-297</t>
  </si>
  <si>
    <t>早稲田大学いちご大福研究会</t>
  </si>
  <si>
    <t>C-298</t>
  </si>
  <si>
    <t>早稲田大学占い研究会</t>
  </si>
  <si>
    <t>C-299</t>
  </si>
  <si>
    <t>早稲田大学三国志研究会</t>
  </si>
  <si>
    <t>C-300</t>
  </si>
  <si>
    <t>TEDxWasedaU</t>
  </si>
  <si>
    <t>C-301</t>
  </si>
  <si>
    <t>早稲田大学モーニング娘。研究会</t>
  </si>
  <si>
    <t>C-302</t>
  </si>
  <si>
    <t>早稲田大学VTuber研究会</t>
  </si>
  <si>
    <t>C-303</t>
  </si>
  <si>
    <t>早稲田ドラマ研究会</t>
  </si>
  <si>
    <t>C-304</t>
  </si>
  <si>
    <t>早稲田大学カバディ同好会</t>
  </si>
  <si>
    <t>C-305</t>
  </si>
  <si>
    <t>早稲田レゴブロック研究会</t>
  </si>
  <si>
    <t>C-306</t>
  </si>
  <si>
    <t>カラーガードサークル ワセガシラ</t>
  </si>
  <si>
    <t>C-307</t>
  </si>
  <si>
    <t>早稲田大学アルティメットサークル青空</t>
  </si>
  <si>
    <t>C-308</t>
  </si>
  <si>
    <t>早稲田大学フランス語研究会amis</t>
  </si>
  <si>
    <t>C-309</t>
  </si>
  <si>
    <t>早大ボーカロイドファンクラブ</t>
  </si>
  <si>
    <t>C-310</t>
  </si>
  <si>
    <t>早稲田大学作問サークル</t>
  </si>
  <si>
    <t>C-311</t>
  </si>
  <si>
    <t>早稲田マイケル・ジャクソン研究会</t>
  </si>
  <si>
    <t>C-312</t>
  </si>
  <si>
    <t>早稲田大学幻想郷研究会</t>
  </si>
  <si>
    <t>C-313</t>
  </si>
  <si>
    <t>早稲田大学踊ってみたサークル</t>
  </si>
  <si>
    <t>C-314</t>
  </si>
  <si>
    <t>早稲田大学nova</t>
  </si>
  <si>
    <t>D-001</t>
  </si>
  <si>
    <t>アイセック早稲田大学委員会</t>
  </si>
  <si>
    <t>D-002</t>
  </si>
  <si>
    <t>模擬国連早稲田研究会</t>
  </si>
  <si>
    <t>D-004</t>
  </si>
  <si>
    <t>WHABITAT</t>
  </si>
  <si>
    <t>E12-01</t>
  </si>
  <si>
    <t>蛍法会</t>
  </si>
  <si>
    <t>E12-02</t>
  </si>
  <si>
    <t>創法会</t>
  </si>
  <si>
    <t>E12-03</t>
  </si>
  <si>
    <t>緑法会</t>
  </si>
  <si>
    <t>E12-04</t>
  </si>
  <si>
    <t>公法研究会</t>
  </si>
  <si>
    <t>E12-05</t>
  </si>
  <si>
    <t>民法研究会</t>
  </si>
  <si>
    <t>E12-06</t>
  </si>
  <si>
    <t>刑事法研究会</t>
  </si>
  <si>
    <t>E12-07</t>
  </si>
  <si>
    <t>犯罪学研究会</t>
  </si>
  <si>
    <t>E12-11</t>
  </si>
  <si>
    <t>法社会学研究会</t>
  </si>
  <si>
    <t>E12-15</t>
  </si>
  <si>
    <t>国際法研究会</t>
  </si>
  <si>
    <t>E12-16</t>
  </si>
  <si>
    <t>現代司法研究会</t>
  </si>
  <si>
    <t>E21-01</t>
  </si>
  <si>
    <t>SILS MUSIC CLUB (SMC)</t>
  </si>
  <si>
    <t>E44-01</t>
  </si>
  <si>
    <t>チーム茶道</t>
  </si>
  <si>
    <t>E47-01</t>
  </si>
  <si>
    <t>Welcome-Law School</t>
  </si>
  <si>
    <t>E47-02</t>
  </si>
  <si>
    <t>ジェンダー法研究会</t>
  </si>
  <si>
    <t>E47-03</t>
  </si>
  <si>
    <t>Law&amp;Practice</t>
  </si>
  <si>
    <t>E47-07</t>
  </si>
  <si>
    <t>法学教室　Ｓｔｒｅｅｔ　Ｌａｗ</t>
  </si>
  <si>
    <t>E47-08</t>
  </si>
  <si>
    <t>WLSキャリアキャンバス</t>
  </si>
  <si>
    <t>EN-001</t>
  </si>
  <si>
    <t>早稲田大学理工漕艇部</t>
  </si>
  <si>
    <t>EN-002</t>
  </si>
  <si>
    <t>理工ｱﾒﾘｶﾝﾌｯﾄﾎﾞｰﾙ部ﾊﾞｯｶｽ</t>
  </si>
  <si>
    <t>EN-003</t>
  </si>
  <si>
    <t>早稲田大学理工英語会</t>
  </si>
  <si>
    <t>EN-005</t>
  </si>
  <si>
    <t>早稲田大学理工ラグビー部</t>
  </si>
  <si>
    <t>EN-008</t>
  </si>
  <si>
    <t>早稲田大学理工サッカー部</t>
  </si>
  <si>
    <t>EN-009</t>
  </si>
  <si>
    <t>早稲田大学理工バレーボール部</t>
  </si>
  <si>
    <t>EN-011</t>
  </si>
  <si>
    <t>早稲田大学理工柔道部</t>
  </si>
  <si>
    <t>EN-012</t>
  </si>
  <si>
    <t>早稲田理工軟式野球部</t>
  </si>
  <si>
    <t>EN-013</t>
  </si>
  <si>
    <t>Swing &amp; Jazz Club</t>
  </si>
  <si>
    <t>EN-014</t>
  </si>
  <si>
    <t>早稲田大学アンサンブルギタール</t>
  </si>
  <si>
    <t>EN-015</t>
  </si>
  <si>
    <t>ロッククライミング</t>
  </si>
  <si>
    <t>EN-016</t>
  </si>
  <si>
    <t>早稲田大学宇宙航空研究会</t>
  </si>
  <si>
    <t>EN-017</t>
  </si>
  <si>
    <t>理工硬式野球部</t>
  </si>
  <si>
    <t>EN-018</t>
  </si>
  <si>
    <t>早稲田大学リコシャ写真部</t>
  </si>
  <si>
    <t>EN-019</t>
  </si>
  <si>
    <t>理工硬式庭球部</t>
  </si>
  <si>
    <t>EN-020</t>
  </si>
  <si>
    <t>KONA HAWAIIANS</t>
  </si>
  <si>
    <t>EN-021</t>
  </si>
  <si>
    <t>早稲田山岳自転車倶楽部WFR（理工山岳自転車部）</t>
  </si>
  <si>
    <t>EN-023</t>
  </si>
  <si>
    <t>早稲田吹奏楽団</t>
  </si>
  <si>
    <t>EN-024</t>
  </si>
  <si>
    <t>Trial and Error Association（T.E.A.）</t>
  </si>
  <si>
    <t>EN-025</t>
  </si>
  <si>
    <t>早大理工囲将会</t>
  </si>
  <si>
    <t>EN-027</t>
  </si>
  <si>
    <t>早稲田大学マイクロマウスクラブ</t>
  </si>
  <si>
    <t>EN-028</t>
  </si>
  <si>
    <t>早稲田社会環境工学研究会</t>
  </si>
  <si>
    <t>EN-030</t>
  </si>
  <si>
    <t>早稲田うたおう会</t>
  </si>
  <si>
    <t>EN-031</t>
  </si>
  <si>
    <t>Perspective研究会</t>
  </si>
  <si>
    <t>EN-032</t>
  </si>
  <si>
    <t>早稲田大学心身統一合氣道会</t>
  </si>
  <si>
    <t>EN-034</t>
  </si>
  <si>
    <t>早稲田コンピュータエンタテインメント</t>
  </si>
  <si>
    <t>EN-035</t>
  </si>
  <si>
    <t>Waseda Formula Project</t>
  </si>
  <si>
    <t>EN-037</t>
  </si>
  <si>
    <t>Laissez-Faire T.C.</t>
  </si>
  <si>
    <t>EN-038</t>
  </si>
  <si>
    <t>理工展連絡会</t>
  </si>
  <si>
    <t>EN-039</t>
  </si>
  <si>
    <t>早大防災教育支援会 WASEND</t>
  </si>
  <si>
    <t>EN-040</t>
  </si>
  <si>
    <t>iGEM - Waseda</t>
  </si>
  <si>
    <t>EN-041</t>
  </si>
  <si>
    <t>理工系学術サークルWathematica</t>
  </si>
  <si>
    <t>ET-002</t>
  </si>
  <si>
    <t>早稲田大学ライフセービングクラブ（W.L.S.C）</t>
  </si>
  <si>
    <t>ET-004</t>
  </si>
  <si>
    <t>バドミントン同好会Ｊ－Ｂｉｒｄｓ</t>
  </si>
  <si>
    <t>ET-005</t>
  </si>
  <si>
    <t>バスケットボールサークルＪＡＷＳ</t>
  </si>
  <si>
    <t>ET-006</t>
  </si>
  <si>
    <t>＠アットマーク</t>
  </si>
  <si>
    <t>ET-007</t>
  </si>
  <si>
    <t>人間科学部サッカー部　ヒューマンＦ．Ｃ．</t>
  </si>
  <si>
    <t>ET-008</t>
  </si>
  <si>
    <t>臨床心理学研究会</t>
  </si>
  <si>
    <t>ET-009</t>
  </si>
  <si>
    <t>早稲田大学混声合唱団　所沢支部</t>
  </si>
  <si>
    <t>ET-011</t>
  </si>
  <si>
    <t>早大スポーツ合気道同志会</t>
  </si>
  <si>
    <t>ET-012</t>
  </si>
  <si>
    <t>早稲田大学陸上競技同好会</t>
  </si>
  <si>
    <t>ET-014</t>
  </si>
  <si>
    <t>ボランティアサークルman-vo.</t>
  </si>
  <si>
    <t>ET-015</t>
  </si>
  <si>
    <t>ET-017</t>
  </si>
  <si>
    <t>Waseda　Athletic　Training　Society （WATS）</t>
  </si>
  <si>
    <t>ET-019</t>
  </si>
  <si>
    <t>CROSS☆ROAD</t>
  </si>
  <si>
    <t>ET-020</t>
  </si>
  <si>
    <t>t:M(チーム）</t>
  </si>
  <si>
    <t>ET-023</t>
  </si>
  <si>
    <t>e-learning コミュニケーション研究会(ELC)</t>
  </si>
  <si>
    <t>ET-024</t>
  </si>
  <si>
    <t>ずるずるらくだ</t>
  </si>
  <si>
    <t>ET-026</t>
  </si>
  <si>
    <t>早稲田大学交響楽団（ワセオケ）所沢支部</t>
  </si>
  <si>
    <t>ET-028</t>
  </si>
  <si>
    <t>創作サークル GIFT</t>
  </si>
  <si>
    <t>ET-033</t>
  </si>
  <si>
    <t>tokopan</t>
  </si>
  <si>
    <t>ET-036</t>
  </si>
  <si>
    <t>早大M+</t>
  </si>
  <si>
    <t>ET-038</t>
  </si>
  <si>
    <t>WILD359ers(ワイルドスリーフィフティーナイナーズ)</t>
  </si>
  <si>
    <t>ET-039</t>
  </si>
  <si>
    <t>PETIT ROYAL FC(プチロワイヤル　エフシー)</t>
  </si>
  <si>
    <t>ET-041</t>
  </si>
  <si>
    <t>aka Wa.Se.Da.</t>
  </si>
  <si>
    <t>ET-043</t>
  </si>
  <si>
    <t>早稲田大学中央アジア研究会</t>
  </si>
  <si>
    <t>ET-045</t>
  </si>
  <si>
    <t>演劇集団ところで</t>
  </si>
  <si>
    <t>ET-046</t>
  </si>
  <si>
    <t>早稲田大学チアダンスチームMYNX所沢支部</t>
  </si>
  <si>
    <t>ET-047</t>
  </si>
  <si>
    <t>RayBack</t>
  </si>
  <si>
    <t>ET-051</t>
  </si>
  <si>
    <t>FC. TEMPESTA</t>
  </si>
  <si>
    <t>ET-054</t>
  </si>
  <si>
    <t>所沢コンピュータ勉強会 418</t>
  </si>
  <si>
    <t>ET-055</t>
  </si>
  <si>
    <t>所祭運営委員会</t>
  </si>
  <si>
    <t>XXX</t>
  </si>
  <si>
    <t>分類番号を選択してください。</t>
    <rPh sb="0" eb="2">
      <t>ブンルイ</t>
    </rPh>
    <rPh sb="2" eb="4">
      <t>バンゴウ</t>
    </rPh>
    <rPh sb="5" eb="7">
      <t>センタク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</si>
</sst>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quot;¥&quot;\-#,##0"/>
    <numFmt numFmtId="6" formatCode="&quot;¥&quot;#,##0;[Red]&quot;¥&quot;\-#,##0"/>
    <numFmt numFmtId="176" formatCode="yyyy/m/d;@"/>
  </numFmts>
  <fonts count="18">
    <font>
      <sz val="11"/>
      <color theme="1"/>
      <name val="游ゴシック"/>
      <family val="2"/>
      <charset val="128"/>
      <scheme val="minor"/>
    </font>
    <font>
      <sz val="6"/>
      <name val="游ゴシック"/>
      <family val="2"/>
      <charset val="128"/>
      <scheme val="minor"/>
    </font>
    <font>
      <sz val="10"/>
      <color theme="1"/>
      <name val="Meiryo UI"/>
      <family val="3"/>
      <charset val="128"/>
    </font>
    <font>
      <sz val="11"/>
      <color indexed="8"/>
      <name val="ＭＳ Ｐゴシック"/>
      <family val="3"/>
      <charset val="128"/>
    </font>
    <font>
      <sz val="11"/>
      <color theme="1"/>
      <name val="游ゴシック"/>
      <family val="2"/>
      <charset val="128"/>
      <scheme val="minor"/>
    </font>
    <font>
      <sz val="14"/>
      <color theme="1"/>
      <name val="UD デジタル 教科書体 N-R"/>
      <family val="1"/>
      <charset val="128"/>
    </font>
    <font>
      <sz val="18"/>
      <color theme="1"/>
      <name val="UD デジタル 教科書体 N-R"/>
      <family val="1"/>
      <charset val="128"/>
    </font>
    <font>
      <sz val="10"/>
      <color theme="1"/>
      <name val="UD デジタル 教科書体 N-R"/>
      <family val="1"/>
      <charset val="128"/>
    </font>
    <font>
      <b/>
      <sz val="16"/>
      <color theme="1"/>
      <name val="UD デジタル 教科書体 N-R"/>
      <family val="1"/>
      <charset val="128"/>
    </font>
    <font>
      <sz val="16"/>
      <color theme="1"/>
      <name val="UD デジタル 教科書体 N-R"/>
      <family val="1"/>
      <charset val="128"/>
    </font>
    <font>
      <sz val="10"/>
      <color rgb="FFFF0000"/>
      <name val="UD デジタル 教科書体 N-R"/>
      <family val="1"/>
      <charset val="128"/>
    </font>
    <font>
      <sz val="12"/>
      <color theme="1"/>
      <name val="UD デジタル 教科書体 N-R"/>
      <family val="1"/>
      <charset val="128"/>
    </font>
    <font>
      <b/>
      <sz val="14"/>
      <color theme="1"/>
      <name val="UD デジタル 教科書体 N-R"/>
      <family val="1"/>
      <charset val="128"/>
    </font>
    <font>
      <sz val="9"/>
      <color theme="1"/>
      <name val="UD デジタル 教科書体 N-R"/>
      <family val="1"/>
      <charset val="128"/>
    </font>
    <font>
      <sz val="11"/>
      <color indexed="8"/>
      <name val="UD デジタル 教科書体 N-R"/>
      <family val="1"/>
      <charset val="128"/>
    </font>
    <font>
      <sz val="11"/>
      <color theme="1"/>
      <name val="UD デジタル 教科書体 N-R"/>
      <family val="1"/>
      <charset val="128"/>
    </font>
    <font>
      <u/>
      <sz val="10"/>
      <color theme="1"/>
      <name val="UD デジタル 教科書体 N-R"/>
      <family val="1"/>
      <charset val="128"/>
    </font>
    <font>
      <sz val="10"/>
      <color theme="1"/>
      <name val="Segoe UI Symbol"/>
      <family val="1"/>
    </font>
  </fonts>
  <fills count="6">
    <fill>
      <patternFill patternType="none"/>
    </fill>
    <fill>
      <patternFill patternType="gray125"/>
    </fill>
    <fill>
      <patternFill patternType="solid">
        <fgColor rgb="FFFFFF00"/>
        <bgColor indexed="64"/>
      </patternFill>
    </fill>
    <fill>
      <patternFill patternType="solid">
        <fgColor indexed="22"/>
        <bgColor indexed="0"/>
      </patternFill>
    </fill>
    <fill>
      <patternFill patternType="solid">
        <fgColor rgb="FF92D050"/>
        <bgColor indexed="64"/>
      </patternFill>
    </fill>
    <fill>
      <patternFill patternType="solid">
        <fgColor theme="0" tint="-0.249977111117893"/>
        <bgColor indexed="64"/>
      </patternFill>
    </fill>
  </fills>
  <borders count="69">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right/>
      <top/>
      <bottom style="medium">
        <color indexed="64"/>
      </bottom>
      <diagonal/>
    </border>
    <border>
      <left style="dashed">
        <color auto="1"/>
      </left>
      <right style="thin">
        <color auto="1"/>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medium">
        <color indexed="64"/>
      </left>
      <right/>
      <top style="medium">
        <color indexed="64"/>
      </top>
      <bottom style="medium">
        <color indexed="64"/>
      </bottom>
      <diagonal/>
    </border>
    <border>
      <left style="thin">
        <color auto="1"/>
      </left>
      <right style="thin">
        <color auto="1"/>
      </right>
      <top/>
      <bottom style="thin">
        <color auto="1"/>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auto="1"/>
      </top>
      <bottom style="medium">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style="thin">
        <color auto="1"/>
      </left>
      <right style="thin">
        <color auto="1"/>
      </right>
      <top style="thin">
        <color auto="1"/>
      </top>
      <bottom/>
      <diagonal/>
    </border>
  </borders>
  <cellStyleXfs count="3">
    <xf numFmtId="0" fontId="0" fillId="0" borderId="0">
      <alignment vertical="center"/>
    </xf>
    <xf numFmtId="6" fontId="4" fillId="0" borderId="0" applyFont="0" applyFill="0" applyBorder="0" applyAlignment="0" applyProtection="0">
      <alignment vertical="center"/>
    </xf>
    <xf numFmtId="0" fontId="3" fillId="0" borderId="0"/>
  </cellStyleXfs>
  <cellXfs count="208">
    <xf numFmtId="0" fontId="0" fillId="0" borderId="0" xfId="0">
      <alignment vertical="center"/>
    </xf>
    <xf numFmtId="0" fontId="2" fillId="0" borderId="0" xfId="0" applyFont="1">
      <alignment vertical="center"/>
    </xf>
    <xf numFmtId="0" fontId="5" fillId="0" borderId="0" xfId="0" applyFont="1" applyAlignment="1">
      <alignment horizontal="centerContinuous" vertical="center"/>
    </xf>
    <xf numFmtId="0" fontId="6" fillId="0" borderId="0" xfId="0" applyFont="1">
      <alignment vertical="center"/>
    </xf>
    <xf numFmtId="0" fontId="7" fillId="0" borderId="0" xfId="0" applyFont="1">
      <alignment vertical="center"/>
    </xf>
    <xf numFmtId="176" fontId="7" fillId="0" borderId="0" xfId="0" applyNumberFormat="1" applyFont="1" applyAlignment="1" applyProtection="1">
      <alignment vertical="center" shrinkToFit="1"/>
      <protection locked="0"/>
    </xf>
    <xf numFmtId="0" fontId="8" fillId="0" borderId="0" xfId="0" applyFont="1" applyAlignment="1">
      <alignment horizontal="centerContinuous" vertical="center"/>
    </xf>
    <xf numFmtId="0" fontId="9" fillId="0" borderId="0" xfId="0" applyFont="1" applyAlignment="1">
      <alignment horizontal="centerContinuous" vertical="center"/>
    </xf>
    <xf numFmtId="0" fontId="7" fillId="0" borderId="9" xfId="0" applyFont="1" applyBorder="1">
      <alignment vertical="center"/>
    </xf>
    <xf numFmtId="0" fontId="7" fillId="0" borderId="10" xfId="0" applyFont="1" applyBorder="1">
      <alignment vertical="center"/>
    </xf>
    <xf numFmtId="0" fontId="7" fillId="0" borderId="11" xfId="0" applyFont="1" applyBorder="1">
      <alignment vertical="center"/>
    </xf>
    <xf numFmtId="0" fontId="11" fillId="0" borderId="17" xfId="0" applyFont="1" applyBorder="1" applyAlignment="1">
      <alignment horizontal="centerContinuous" vertical="center"/>
    </xf>
    <xf numFmtId="0" fontId="11" fillId="0" borderId="18" xfId="0" applyFont="1" applyBorder="1" applyAlignment="1">
      <alignment horizontal="centerContinuous" vertical="center"/>
    </xf>
    <xf numFmtId="0" fontId="11" fillId="0" borderId="14" xfId="0" applyFont="1" applyBorder="1" applyAlignment="1">
      <alignment horizontal="centerContinuous" vertical="center"/>
    </xf>
    <xf numFmtId="0" fontId="7" fillId="0" borderId="0" xfId="0" applyFont="1" applyProtection="1">
      <alignment vertical="center"/>
      <protection locked="0"/>
    </xf>
    <xf numFmtId="0" fontId="12" fillId="0" borderId="7" xfId="0" applyFont="1" applyBorder="1" applyAlignment="1">
      <alignment horizontal="centerContinuous" vertical="center"/>
    </xf>
    <xf numFmtId="0" fontId="7" fillId="0" borderId="23" xfId="0" applyFont="1" applyBorder="1" applyAlignment="1">
      <alignment horizontal="centerContinuous" vertical="center"/>
    </xf>
    <xf numFmtId="0" fontId="7" fillId="0" borderId="24" xfId="0" applyFont="1" applyBorder="1" applyAlignment="1">
      <alignment horizontal="centerContinuous" vertical="center"/>
    </xf>
    <xf numFmtId="0" fontId="7" fillId="0" borderId="7" xfId="0" applyFont="1" applyBorder="1" applyAlignment="1">
      <alignment horizontal="right" vertical="center"/>
    </xf>
    <xf numFmtId="0" fontId="7" fillId="0" borderId="9" xfId="0" applyFont="1" applyBorder="1" applyAlignment="1">
      <alignment horizontal="right" vertical="center" wrapText="1"/>
    </xf>
    <xf numFmtId="0" fontId="7" fillId="0" borderId="29" xfId="0" applyFont="1" applyBorder="1">
      <alignment vertical="center"/>
    </xf>
    <xf numFmtId="0" fontId="7" fillId="0" borderId="10" xfId="0" applyFont="1" applyBorder="1" applyAlignment="1">
      <alignment horizontal="right" vertical="center"/>
    </xf>
    <xf numFmtId="0" fontId="7" fillId="0" borderId="29" xfId="0" applyFont="1" applyBorder="1" applyAlignment="1">
      <alignment horizontal="right" vertical="center"/>
    </xf>
    <xf numFmtId="0" fontId="7" fillId="0" borderId="11" xfId="0" applyFont="1" applyBorder="1" applyAlignment="1">
      <alignment horizontal="right" vertical="center"/>
    </xf>
    <xf numFmtId="0" fontId="7" fillId="0" borderId="28" xfId="0" applyFont="1" applyBorder="1" applyAlignment="1">
      <alignment horizontal="center" vertical="center" wrapText="1"/>
    </xf>
    <xf numFmtId="0" fontId="7" fillId="0" borderId="34" xfId="0" applyFont="1" applyBorder="1">
      <alignment vertical="center"/>
    </xf>
    <xf numFmtId="0" fontId="7" fillId="0" borderId="28" xfId="0" applyFont="1" applyBorder="1" applyAlignment="1">
      <alignment horizontal="center" vertical="center"/>
    </xf>
    <xf numFmtId="6" fontId="7" fillId="0" borderId="47" xfId="1" applyFont="1" applyFill="1" applyBorder="1" applyAlignment="1">
      <alignment horizontal="right" vertical="center"/>
    </xf>
    <xf numFmtId="0" fontId="7" fillId="0" borderId="1" xfId="0" applyFont="1" applyBorder="1">
      <alignment vertical="center"/>
    </xf>
    <xf numFmtId="0" fontId="7" fillId="0" borderId="31" xfId="0" applyFont="1" applyBorder="1" applyAlignment="1">
      <alignment horizontal="right" vertical="center"/>
    </xf>
    <xf numFmtId="0" fontId="7" fillId="0" borderId="0" xfId="0" applyFont="1" applyAlignment="1">
      <alignment horizontal="right" vertical="center"/>
    </xf>
    <xf numFmtId="0" fontId="15" fillId="0" borderId="0" xfId="0" applyFont="1">
      <alignment vertical="center"/>
    </xf>
    <xf numFmtId="0" fontId="7" fillId="0" borderId="33" xfId="0" applyFont="1" applyBorder="1">
      <alignment vertical="center"/>
    </xf>
    <xf numFmtId="0" fontId="7" fillId="0" borderId="26" xfId="0" applyFont="1" applyBorder="1">
      <alignment vertical="center"/>
    </xf>
    <xf numFmtId="0" fontId="7" fillId="0" borderId="27" xfId="0" applyFont="1" applyBorder="1" applyAlignment="1">
      <alignment horizontal="left" vertical="center"/>
    </xf>
    <xf numFmtId="0" fontId="7" fillId="0" borderId="28" xfId="0" applyFont="1" applyBorder="1">
      <alignment vertical="center"/>
    </xf>
    <xf numFmtId="0" fontId="5" fillId="0" borderId="34" xfId="0" applyFont="1" applyBorder="1" applyAlignment="1">
      <alignment horizontal="centerContinuous" vertical="center"/>
    </xf>
    <xf numFmtId="0" fontId="7" fillId="0" borderId="20" xfId="0" applyFont="1" applyBorder="1" applyAlignment="1">
      <alignment horizontal="centerContinuous" vertical="center"/>
    </xf>
    <xf numFmtId="0" fontId="7" fillId="0" borderId="19" xfId="0" applyFont="1" applyBorder="1" applyAlignment="1">
      <alignment horizontal="centerContinuous" vertical="center"/>
    </xf>
    <xf numFmtId="0" fontId="7" fillId="0" borderId="28" xfId="0" applyFont="1" applyBorder="1" applyAlignment="1">
      <alignment horizontal="centerContinuous" vertical="center"/>
    </xf>
    <xf numFmtId="0" fontId="7" fillId="0" borderId="34" xfId="0" applyFont="1" applyBorder="1" applyAlignment="1">
      <alignment horizontal="centerContinuous" vertical="center"/>
    </xf>
    <xf numFmtId="0" fontId="7" fillId="0" borderId="34" xfId="0" applyFont="1" applyBorder="1" applyAlignment="1">
      <alignment vertical="center" shrinkToFit="1"/>
    </xf>
    <xf numFmtId="5" fontId="7" fillId="0" borderId="28" xfId="0" applyNumberFormat="1" applyFont="1" applyBorder="1" applyAlignment="1">
      <alignment vertical="center" shrinkToFit="1"/>
    </xf>
    <xf numFmtId="0" fontId="11" fillId="0" borderId="34" xfId="0" applyFont="1" applyBorder="1" applyAlignment="1">
      <alignment horizontal="centerContinuous" vertical="center"/>
    </xf>
    <xf numFmtId="5" fontId="7" fillId="0" borderId="28" xfId="0" applyNumberFormat="1" applyFont="1" applyBorder="1" applyAlignment="1">
      <alignment horizontal="centerContinuous" vertical="center"/>
    </xf>
    <xf numFmtId="5" fontId="7" fillId="0" borderId="28" xfId="0" applyNumberFormat="1" applyFont="1" applyBorder="1">
      <alignment vertical="center"/>
    </xf>
    <xf numFmtId="6" fontId="7" fillId="0" borderId="51" xfId="1" applyFont="1" applyFill="1" applyBorder="1" applyAlignment="1">
      <alignment horizontal="right" vertical="center"/>
    </xf>
    <xf numFmtId="0" fontId="7" fillId="0" borderId="47" xfId="0" applyFont="1" applyBorder="1" applyAlignment="1">
      <alignment horizontal="right" vertical="center"/>
    </xf>
    <xf numFmtId="0" fontId="7" fillId="0" borderId="51" xfId="0" applyFont="1" applyBorder="1" applyAlignment="1">
      <alignment horizontal="right" vertical="center"/>
    </xf>
    <xf numFmtId="0" fontId="7" fillId="0" borderId="27" xfId="0" applyFont="1" applyBorder="1" applyAlignment="1">
      <alignment horizontal="center" vertical="center"/>
    </xf>
    <xf numFmtId="0" fontId="7" fillId="0" borderId="52" xfId="0" applyFont="1" applyBorder="1" applyAlignment="1">
      <alignment horizontal="left" vertical="center"/>
    </xf>
    <xf numFmtId="0" fontId="7" fillId="0" borderId="46" xfId="0" applyFont="1" applyBorder="1">
      <alignment vertical="center"/>
    </xf>
    <xf numFmtId="0" fontId="7" fillId="0" borderId="57" xfId="0" applyFont="1" applyBorder="1" applyAlignment="1">
      <alignment horizontal="centerContinuous" vertical="center"/>
    </xf>
    <xf numFmtId="0" fontId="7" fillId="0" borderId="58" xfId="0" applyFont="1" applyBorder="1" applyAlignment="1">
      <alignment horizontal="centerContinuous" vertical="center"/>
    </xf>
    <xf numFmtId="0" fontId="7" fillId="0" borderId="59" xfId="0" applyFont="1" applyBorder="1" applyAlignment="1">
      <alignment horizontal="centerContinuous" vertical="center"/>
    </xf>
    <xf numFmtId="0" fontId="7" fillId="0" borderId="65" xfId="0" applyFont="1" applyBorder="1" applyAlignment="1">
      <alignment horizontal="right" vertical="center"/>
    </xf>
    <xf numFmtId="0" fontId="7" fillId="0" borderId="58" xfId="0" applyFont="1" applyBorder="1">
      <alignment vertical="center"/>
    </xf>
    <xf numFmtId="0" fontId="7" fillId="0" borderId="58" xfId="0" applyFont="1" applyBorder="1" applyAlignment="1">
      <alignment horizontal="right" vertical="center"/>
    </xf>
    <xf numFmtId="6" fontId="7" fillId="0" borderId="58" xfId="1" applyFont="1" applyFill="1" applyBorder="1" applyAlignment="1">
      <alignment horizontal="right" vertical="center"/>
    </xf>
    <xf numFmtId="6" fontId="7" fillId="0" borderId="68" xfId="1" applyFont="1" applyFill="1" applyBorder="1" applyAlignment="1">
      <alignment horizontal="right" vertical="center"/>
    </xf>
    <xf numFmtId="0" fontId="7" fillId="0" borderId="0" xfId="0" applyFont="1" applyAlignment="1">
      <alignment vertical="center" wrapText="1"/>
    </xf>
    <xf numFmtId="0" fontId="11" fillId="0" borderId="0" xfId="0" applyFont="1" applyAlignment="1">
      <alignment horizontal="left" vertical="center"/>
    </xf>
    <xf numFmtId="0" fontId="7" fillId="0" borderId="0" xfId="0" applyFont="1" applyBorder="1">
      <alignment vertical="center"/>
    </xf>
    <xf numFmtId="0" fontId="7" fillId="0" borderId="0" xfId="0" applyFont="1" applyBorder="1" applyAlignment="1">
      <alignment horizontal="centerContinuous" vertical="center"/>
    </xf>
    <xf numFmtId="0" fontId="7" fillId="0" borderId="0" xfId="0" applyFont="1" applyBorder="1" applyAlignment="1">
      <alignment vertical="center" shrinkToFit="1"/>
    </xf>
    <xf numFmtId="5" fontId="7" fillId="0" borderId="0" xfId="0" applyNumberFormat="1" applyFont="1" applyBorder="1" applyAlignment="1">
      <alignment vertical="center" shrinkToFit="1"/>
    </xf>
    <xf numFmtId="5" fontId="7" fillId="0" borderId="0" xfId="0" applyNumberFormat="1" applyFont="1" applyBorder="1" applyAlignment="1">
      <alignment horizontal="centerContinuous" vertical="center"/>
    </xf>
    <xf numFmtId="5" fontId="7" fillId="0" borderId="0" xfId="0" applyNumberFormat="1" applyFont="1" applyBorder="1">
      <alignment vertical="center"/>
    </xf>
    <xf numFmtId="0" fontId="7" fillId="0" borderId="46" xfId="0" applyFont="1" applyBorder="1" applyAlignment="1">
      <alignment horizontal="left" vertical="center"/>
    </xf>
    <xf numFmtId="0" fontId="12" fillId="0" borderId="0" xfId="0" applyFont="1" applyAlignment="1">
      <alignment horizontal="centerContinuous" vertical="center"/>
    </xf>
    <xf numFmtId="0" fontId="7" fillId="0" borderId="60" xfId="0" applyFont="1" applyBorder="1" applyAlignment="1" applyProtection="1">
      <alignment horizontal="center" vertical="center" wrapText="1"/>
      <protection locked="0"/>
    </xf>
    <xf numFmtId="0" fontId="11" fillId="0" borderId="60" xfId="0" applyFont="1" applyBorder="1" applyAlignment="1" applyProtection="1">
      <alignment horizontal="center" vertical="center" wrapText="1"/>
      <protection locked="0"/>
    </xf>
    <xf numFmtId="0" fontId="14" fillId="3" borderId="58" xfId="2" applyFont="1" applyFill="1" applyBorder="1" applyAlignment="1">
      <alignment horizontal="center"/>
    </xf>
    <xf numFmtId="0" fontId="15" fillId="0" borderId="58" xfId="0" applyFont="1" applyBorder="1">
      <alignment vertical="center"/>
    </xf>
    <xf numFmtId="0" fontId="14" fillId="0" borderId="58" xfId="2" applyFont="1" applyBorder="1" applyAlignment="1">
      <alignment wrapText="1"/>
    </xf>
    <xf numFmtId="0" fontId="15" fillId="5" borderId="58" xfId="0" applyFont="1" applyFill="1" applyBorder="1">
      <alignment vertical="center"/>
    </xf>
    <xf numFmtId="0" fontId="7" fillId="0" borderId="0" xfId="0" applyFont="1" applyAlignment="1">
      <alignment horizontal="left" vertical="center"/>
    </xf>
    <xf numFmtId="0" fontId="7" fillId="0" borderId="7" xfId="0" applyFont="1" applyBorder="1" applyAlignment="1">
      <alignment horizontal="left" vertical="center"/>
    </xf>
    <xf numFmtId="0" fontId="7" fillId="0" borderId="28" xfId="0" applyFont="1" applyBorder="1" applyAlignment="1">
      <alignment horizontal="left" vertical="center"/>
    </xf>
    <xf numFmtId="0" fontId="7" fillId="0" borderId="58" xfId="0" applyFont="1" applyBorder="1" applyAlignment="1">
      <alignment horizontal="center" vertical="center"/>
    </xf>
    <xf numFmtId="0" fontId="7" fillId="0" borderId="34" xfId="0" applyFont="1" applyBorder="1" applyAlignment="1">
      <alignment vertical="center" wrapText="1"/>
    </xf>
    <xf numFmtId="0" fontId="7" fillId="0" borderId="0" xfId="0" applyFont="1" applyBorder="1" applyAlignment="1">
      <alignment vertical="center" wrapText="1"/>
    </xf>
    <xf numFmtId="0" fontId="7" fillId="0" borderId="28" xfId="0" applyFont="1" applyBorder="1" applyAlignment="1">
      <alignment vertical="center" wrapText="1"/>
    </xf>
    <xf numFmtId="0" fontId="7" fillId="0" borderId="0" xfId="0" applyFont="1" applyAlignment="1">
      <alignment horizontal="left" vertical="center" wrapText="1"/>
    </xf>
    <xf numFmtId="0" fontId="7" fillId="0" borderId="7" xfId="0" applyFont="1" applyBorder="1" applyAlignment="1">
      <alignment vertical="center"/>
    </xf>
    <xf numFmtId="0" fontId="0" fillId="0" borderId="23" xfId="0" applyBorder="1" applyAlignment="1">
      <alignment vertical="center"/>
    </xf>
    <xf numFmtId="0" fontId="7" fillId="0" borderId="23" xfId="0" applyFont="1" applyBorder="1" applyAlignment="1">
      <alignment vertical="center"/>
    </xf>
    <xf numFmtId="0" fontId="0" fillId="0" borderId="24" xfId="0" applyBorder="1" applyAlignment="1">
      <alignment vertical="center"/>
    </xf>
    <xf numFmtId="0" fontId="7" fillId="0" borderId="5" xfId="0" applyFont="1" applyBorder="1" applyAlignment="1" applyProtection="1">
      <alignment horizontal="left" vertical="center"/>
      <protection locked="0"/>
    </xf>
    <xf numFmtId="0" fontId="0" fillId="0" borderId="6" xfId="0" applyBorder="1" applyAlignment="1">
      <alignment horizontal="left" vertical="center"/>
    </xf>
    <xf numFmtId="0" fontId="7" fillId="0" borderId="60" xfId="0" applyFont="1" applyBorder="1" applyAlignment="1" applyProtection="1">
      <alignment horizontal="center" vertical="center" shrinkToFit="1"/>
      <protection locked="0"/>
    </xf>
    <xf numFmtId="0" fontId="7" fillId="0" borderId="54" xfId="0" applyFont="1" applyBorder="1" applyAlignment="1" applyProtection="1">
      <alignment horizontal="center" vertical="center" shrinkToFit="1"/>
      <protection locked="0"/>
    </xf>
    <xf numFmtId="5" fontId="7" fillId="0" borderId="53" xfId="0" applyNumberFormat="1" applyFont="1" applyBorder="1" applyAlignment="1" applyProtection="1">
      <alignment horizontal="right" vertical="center" shrinkToFit="1"/>
      <protection locked="0"/>
    </xf>
    <xf numFmtId="5" fontId="7" fillId="0" borderId="54" xfId="0" applyNumberFormat="1" applyFont="1" applyBorder="1" applyAlignment="1" applyProtection="1">
      <alignment horizontal="right" vertical="center" shrinkToFit="1"/>
      <protection locked="0"/>
    </xf>
    <xf numFmtId="0" fontId="7" fillId="0" borderId="53" xfId="0" applyFont="1" applyBorder="1" applyAlignment="1" applyProtection="1">
      <alignment horizontal="left" vertical="center"/>
      <protection locked="0"/>
    </xf>
    <xf numFmtId="0" fontId="7" fillId="0" borderId="54" xfId="0" applyFont="1" applyBorder="1" applyAlignment="1" applyProtection="1">
      <alignment horizontal="left" vertical="center"/>
      <protection locked="0"/>
    </xf>
    <xf numFmtId="5" fontId="7" fillId="0" borderId="56" xfId="0" applyNumberFormat="1" applyFont="1" applyBorder="1" applyAlignment="1" applyProtection="1">
      <alignment horizontal="right" vertical="center" shrinkToFit="1"/>
      <protection locked="0"/>
    </xf>
    <xf numFmtId="0" fontId="7" fillId="0" borderId="61" xfId="0" applyFont="1" applyBorder="1" applyAlignment="1">
      <alignment horizontal="center" vertical="center"/>
    </xf>
    <xf numFmtId="0" fontId="7" fillId="0" borderId="62" xfId="0" applyFont="1" applyBorder="1" applyAlignment="1">
      <alignment horizontal="center" vertical="center"/>
    </xf>
    <xf numFmtId="5" fontId="7" fillId="0" borderId="63" xfId="0" applyNumberFormat="1" applyFont="1" applyBorder="1" applyAlignment="1">
      <alignment horizontal="right" vertical="center"/>
    </xf>
    <xf numFmtId="5" fontId="7" fillId="0" borderId="62" xfId="0" applyNumberFormat="1" applyFont="1" applyBorder="1" applyAlignment="1">
      <alignment horizontal="right" vertical="center"/>
    </xf>
    <xf numFmtId="0" fontId="7" fillId="0" borderId="63" xfId="0" applyFont="1" applyBorder="1" applyAlignment="1">
      <alignment horizontal="center" vertical="center"/>
    </xf>
    <xf numFmtId="5" fontId="7" fillId="0" borderId="64" xfId="0" applyNumberFormat="1" applyFont="1" applyBorder="1" applyAlignment="1">
      <alignment horizontal="right" vertical="center"/>
    </xf>
    <xf numFmtId="0" fontId="7" fillId="0" borderId="53" xfId="0" applyFont="1" applyBorder="1" applyAlignment="1" applyProtection="1">
      <alignment horizontal="left" vertical="center" shrinkToFit="1"/>
      <protection locked="0"/>
    </xf>
    <xf numFmtId="0" fontId="7" fillId="0" borderId="54" xfId="0" applyFont="1" applyBorder="1" applyAlignment="1" applyProtection="1">
      <alignment horizontal="left" vertical="center" shrinkToFit="1"/>
      <protection locked="0"/>
    </xf>
    <xf numFmtId="0" fontId="7" fillId="0" borderId="60" xfId="0" applyFont="1" applyBorder="1" applyAlignment="1" applyProtection="1">
      <alignment horizontal="left" vertical="center" shrinkToFit="1"/>
      <protection locked="0"/>
    </xf>
    <xf numFmtId="0" fontId="7" fillId="0" borderId="60" xfId="0" applyFont="1" applyBorder="1" applyAlignment="1" applyProtection="1">
      <alignment horizontal="left" vertical="center"/>
      <protection locked="0"/>
    </xf>
    <xf numFmtId="0" fontId="7" fillId="0" borderId="60" xfId="0" applyFont="1" applyBorder="1" applyAlignment="1">
      <alignment horizontal="center" vertical="center"/>
    </xf>
    <xf numFmtId="0" fontId="7" fillId="0" borderId="54" xfId="0" applyFont="1" applyBorder="1" applyAlignment="1">
      <alignment horizontal="center" vertical="center"/>
    </xf>
    <xf numFmtId="0" fontId="7" fillId="0" borderId="53" xfId="0" applyFont="1" applyBorder="1" applyAlignment="1">
      <alignment horizontal="center" vertical="center"/>
    </xf>
    <xf numFmtId="0" fontId="7" fillId="0" borderId="56" xfId="0" applyFont="1" applyBorder="1" applyAlignment="1">
      <alignment horizontal="center" vertical="center"/>
    </xf>
    <xf numFmtId="0" fontId="7" fillId="0" borderId="53" xfId="0" applyFont="1" applyBorder="1" applyAlignment="1">
      <alignment horizontal="left" vertical="center" shrinkToFit="1"/>
    </xf>
    <xf numFmtId="0" fontId="7" fillId="0" borderId="54" xfId="0" applyFont="1" applyBorder="1" applyAlignment="1">
      <alignment horizontal="left" vertical="center" shrinkToFit="1"/>
    </xf>
    <xf numFmtId="0" fontId="7" fillId="0" borderId="53" xfId="0" applyFont="1" applyBorder="1" applyAlignment="1" applyProtection="1">
      <alignment vertical="center" shrinkToFit="1"/>
      <protection locked="0"/>
    </xf>
    <xf numFmtId="0" fontId="7" fillId="0" borderId="55" xfId="0" applyFont="1" applyBorder="1" applyAlignment="1" applyProtection="1">
      <alignment vertical="center" shrinkToFit="1"/>
      <protection locked="0"/>
    </xf>
    <xf numFmtId="0" fontId="7" fillId="0" borderId="56" xfId="0" applyFont="1" applyBorder="1" applyAlignment="1" applyProtection="1">
      <alignment vertical="center" shrinkToFit="1"/>
      <protection locked="0"/>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1" xfId="0" applyFont="1" applyBorder="1" applyAlignment="1" applyProtection="1">
      <alignment horizontal="center" vertical="center" shrinkToFit="1"/>
      <protection locked="0"/>
    </xf>
    <xf numFmtId="0" fontId="7" fillId="0" borderId="2" xfId="0" applyFont="1" applyBorder="1" applyAlignment="1" applyProtection="1">
      <alignment horizontal="center" vertical="center" shrinkToFit="1"/>
      <protection locked="0"/>
    </xf>
    <xf numFmtId="0" fontId="10" fillId="0" borderId="0" xfId="0" applyFont="1" applyAlignment="1">
      <alignment horizontal="center" vertical="center" shrinkToFit="1"/>
    </xf>
    <xf numFmtId="0" fontId="7" fillId="0" borderId="46" xfId="0" applyFont="1" applyBorder="1" applyAlignment="1">
      <alignment horizontal="left" vertical="center" shrinkToFit="1"/>
    </xf>
    <xf numFmtId="0" fontId="7" fillId="0" borderId="5" xfId="0" applyFont="1" applyBorder="1" applyAlignment="1">
      <alignment horizontal="left" vertical="center" shrinkToFit="1"/>
    </xf>
    <xf numFmtId="0" fontId="7" fillId="0" borderId="12" xfId="0" applyFont="1" applyBorder="1" applyAlignment="1">
      <alignment horizontal="left" vertical="center" shrinkToFit="1"/>
    </xf>
    <xf numFmtId="0" fontId="7" fillId="0" borderId="13" xfId="0" applyFont="1" applyBorder="1" applyAlignment="1">
      <alignment horizontal="left" vertical="center" shrinkToFit="1"/>
    </xf>
    <xf numFmtId="0" fontId="7" fillId="0" borderId="12" xfId="0" applyFont="1" applyBorder="1" applyAlignment="1" applyProtection="1">
      <alignment vertical="center" shrinkToFit="1"/>
      <protection locked="0"/>
    </xf>
    <xf numFmtId="0" fontId="7" fillId="0" borderId="15" xfId="0" applyFont="1" applyBorder="1" applyAlignment="1" applyProtection="1">
      <alignment vertical="center" shrinkToFit="1"/>
      <protection locked="0"/>
    </xf>
    <xf numFmtId="0" fontId="7" fillId="0" borderId="4" xfId="0" applyFont="1" applyBorder="1" applyAlignment="1" applyProtection="1">
      <alignment vertical="center" shrinkToFit="1"/>
      <protection locked="0"/>
    </xf>
    <xf numFmtId="0" fontId="7" fillId="0" borderId="16" xfId="0" applyFont="1" applyBorder="1" applyAlignment="1" applyProtection="1">
      <alignment vertical="center" shrinkToFit="1"/>
      <protection locked="0"/>
    </xf>
    <xf numFmtId="0" fontId="7" fillId="0" borderId="0" xfId="0" applyFont="1" applyAlignment="1">
      <alignment horizontal="left" vertical="center"/>
    </xf>
    <xf numFmtId="0" fontId="13" fillId="0" borderId="26" xfId="0" applyFont="1" applyBorder="1" applyAlignment="1">
      <alignment horizontal="left" vertical="center" wrapText="1"/>
    </xf>
    <xf numFmtId="0" fontId="13" fillId="0" borderId="27" xfId="0" applyFont="1" applyBorder="1" applyAlignment="1">
      <alignment horizontal="left" vertical="center" wrapText="1"/>
    </xf>
    <xf numFmtId="0" fontId="13" fillId="0" borderId="0" xfId="0" applyFont="1" applyAlignment="1">
      <alignment horizontal="left" vertical="center" wrapText="1"/>
    </xf>
    <xf numFmtId="0" fontId="13" fillId="0" borderId="28" xfId="0" applyFont="1" applyBorder="1" applyAlignment="1">
      <alignment horizontal="left" vertical="center" wrapText="1"/>
    </xf>
    <xf numFmtId="0" fontId="13" fillId="0" borderId="22" xfId="0" applyFont="1" applyBorder="1" applyAlignment="1">
      <alignment horizontal="left" vertical="center" wrapText="1"/>
    </xf>
    <xf numFmtId="0" fontId="13" fillId="0" borderId="30" xfId="0" applyFont="1" applyBorder="1" applyAlignment="1">
      <alignment horizontal="left" vertical="center" wrapText="1"/>
    </xf>
    <xf numFmtId="0" fontId="7" fillId="0" borderId="22" xfId="0" applyFont="1" applyBorder="1" applyAlignment="1">
      <alignment horizontal="left" vertical="center"/>
    </xf>
    <xf numFmtId="0" fontId="7" fillId="0" borderId="66" xfId="0" applyFont="1" applyBorder="1" applyAlignment="1">
      <alignment horizontal="left" vertical="center"/>
    </xf>
    <xf numFmtId="0" fontId="7" fillId="0" borderId="25" xfId="0" applyFont="1" applyBorder="1" applyAlignment="1">
      <alignment horizontal="left" vertical="center"/>
    </xf>
    <xf numFmtId="0" fontId="7" fillId="0" borderId="26" xfId="0" applyFont="1" applyBorder="1" applyAlignment="1">
      <alignment horizontal="left" vertical="center"/>
    </xf>
    <xf numFmtId="0" fontId="7" fillId="0" borderId="19" xfId="0" applyFont="1" applyBorder="1" applyAlignment="1">
      <alignment horizontal="left" vertical="center"/>
    </xf>
    <xf numFmtId="0" fontId="7" fillId="4" borderId="21" xfId="0" applyFont="1" applyFill="1" applyBorder="1" applyAlignment="1">
      <alignment horizontal="left" vertical="center"/>
    </xf>
    <xf numFmtId="0" fontId="7" fillId="4" borderId="22" xfId="0" applyFont="1" applyFill="1" applyBorder="1" applyAlignment="1">
      <alignment horizontal="left" vertical="center"/>
    </xf>
    <xf numFmtId="0" fontId="7" fillId="0" borderId="67" xfId="0" applyFont="1" applyBorder="1" applyAlignment="1">
      <alignment horizontal="left" vertical="center"/>
    </xf>
    <xf numFmtId="0" fontId="7" fillId="0" borderId="28" xfId="0" applyFont="1" applyBorder="1" applyAlignment="1">
      <alignment horizontal="left" vertical="center"/>
    </xf>
    <xf numFmtId="0" fontId="7" fillId="0" borderId="30" xfId="0" applyFont="1" applyBorder="1" applyAlignment="1">
      <alignment horizontal="left" vertical="center"/>
    </xf>
    <xf numFmtId="0" fontId="7" fillId="0" borderId="31" xfId="0" applyFont="1" applyBorder="1" applyAlignment="1">
      <alignment horizontal="left" vertical="center"/>
    </xf>
    <xf numFmtId="0" fontId="7" fillId="0" borderId="2" xfId="0" applyFont="1" applyBorder="1" applyAlignment="1">
      <alignment horizontal="left" vertical="center"/>
    </xf>
    <xf numFmtId="0" fontId="7" fillId="0" borderId="8"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left" vertical="center"/>
    </xf>
    <xf numFmtId="0" fontId="7" fillId="0" borderId="23" xfId="0" applyFont="1" applyBorder="1" applyAlignment="1">
      <alignment horizontal="left" vertical="center"/>
    </xf>
    <xf numFmtId="0" fontId="7" fillId="0" borderId="8" xfId="0" applyFont="1" applyBorder="1" applyAlignment="1">
      <alignment horizontal="left" vertical="center"/>
    </xf>
    <xf numFmtId="0" fontId="7" fillId="0" borderId="32" xfId="0" applyFont="1" applyBorder="1" applyAlignment="1">
      <alignment horizontal="center" vertical="center"/>
    </xf>
    <xf numFmtId="0" fontId="7" fillId="0" borderId="24" xfId="0"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7" fillId="0" borderId="58" xfId="0" applyFont="1" applyBorder="1" applyAlignment="1">
      <alignment horizontal="left" vertical="center"/>
    </xf>
    <xf numFmtId="0" fontId="7" fillId="2" borderId="7"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24" xfId="0" applyFont="1" applyFill="1" applyBorder="1" applyAlignment="1">
      <alignment horizontal="center" vertical="center"/>
    </xf>
    <xf numFmtId="6" fontId="7" fillId="2" borderId="7" xfId="1" applyFont="1" applyFill="1" applyBorder="1" applyAlignment="1">
      <alignment horizontal="right" vertical="center"/>
    </xf>
    <xf numFmtId="6" fontId="7" fillId="2" borderId="23" xfId="1" applyFont="1" applyFill="1" applyBorder="1" applyAlignment="1">
      <alignment horizontal="right" vertical="center"/>
    </xf>
    <xf numFmtId="6" fontId="7" fillId="2" borderId="24" xfId="1" applyFont="1" applyFill="1" applyBorder="1" applyAlignment="1">
      <alignment horizontal="right" vertical="center"/>
    </xf>
    <xf numFmtId="0" fontId="7" fillId="0" borderId="20" xfId="0" applyFont="1" applyBorder="1" applyAlignment="1">
      <alignment horizontal="left" vertical="center"/>
    </xf>
    <xf numFmtId="0" fontId="7" fillId="0" borderId="47" xfId="0" applyFont="1" applyBorder="1" applyAlignment="1">
      <alignment horizontal="left" vertical="center"/>
    </xf>
    <xf numFmtId="0" fontId="7" fillId="0" borderId="21" xfId="0" applyFont="1" applyBorder="1" applyAlignment="1">
      <alignment horizontal="left" vertical="center"/>
    </xf>
    <xf numFmtId="0" fontId="7" fillId="0" borderId="50" xfId="0" applyFont="1" applyBorder="1" applyAlignment="1">
      <alignment horizontal="left" vertical="center"/>
    </xf>
    <xf numFmtId="0" fontId="7" fillId="0" borderId="48" xfId="0" applyFont="1" applyBorder="1" applyAlignment="1">
      <alignment horizontal="left" vertical="center"/>
    </xf>
    <xf numFmtId="0" fontId="7" fillId="0" borderId="49" xfId="0" applyFont="1" applyBorder="1" applyAlignment="1">
      <alignment horizontal="left" vertical="center"/>
    </xf>
    <xf numFmtId="0" fontId="7" fillId="0" borderId="68" xfId="0" applyFont="1" applyBorder="1" applyAlignment="1">
      <alignment horizontal="left" vertical="center"/>
    </xf>
    <xf numFmtId="0" fontId="7" fillId="0" borderId="58" xfId="0" applyFont="1" applyBorder="1" applyAlignment="1">
      <alignment horizontal="center" vertical="center"/>
    </xf>
    <xf numFmtId="0" fontId="7" fillId="0" borderId="51" xfId="0" applyFont="1" applyBorder="1" applyAlignment="1">
      <alignment horizontal="left" vertical="center"/>
    </xf>
    <xf numFmtId="0" fontId="7" fillId="0" borderId="51" xfId="0" applyFont="1" applyBorder="1" applyAlignment="1">
      <alignment horizontal="left" vertical="center" wrapText="1"/>
    </xf>
    <xf numFmtId="0" fontId="7" fillId="0" borderId="38" xfId="0" applyFont="1" applyBorder="1" applyAlignment="1">
      <alignment horizontal="left" vertical="center" wrapText="1"/>
    </xf>
    <xf numFmtId="0" fontId="7" fillId="0" borderId="39" xfId="0" applyFont="1" applyBorder="1" applyAlignment="1">
      <alignment horizontal="left" vertical="center" wrapText="1"/>
    </xf>
    <xf numFmtId="0" fontId="7" fillId="0" borderId="40" xfId="0" applyFont="1" applyBorder="1" applyAlignment="1">
      <alignment horizontal="left" vertical="center" wrapText="1"/>
    </xf>
    <xf numFmtId="0" fontId="7" fillId="0" borderId="41" xfId="0" applyFont="1" applyBorder="1" applyAlignment="1">
      <alignment horizontal="left" vertical="center" wrapText="1"/>
    </xf>
    <xf numFmtId="0" fontId="7" fillId="0" borderId="0" xfId="0" applyFont="1" applyBorder="1" applyAlignment="1">
      <alignment horizontal="left" vertical="center" wrapText="1"/>
    </xf>
    <xf numFmtId="0" fontId="7" fillId="0" borderId="42" xfId="0" applyFont="1" applyBorder="1" applyAlignment="1">
      <alignment horizontal="left" vertical="center" wrapText="1"/>
    </xf>
    <xf numFmtId="0" fontId="7" fillId="0" borderId="43" xfId="0" applyFont="1" applyBorder="1" applyAlignment="1">
      <alignment horizontal="left" vertical="center" wrapText="1"/>
    </xf>
    <xf numFmtId="0" fontId="7" fillId="0" borderId="44" xfId="0" applyFont="1" applyBorder="1" applyAlignment="1">
      <alignment horizontal="left" vertical="center" wrapText="1"/>
    </xf>
    <xf numFmtId="0" fontId="7" fillId="0" borderId="45" xfId="0" applyFont="1" applyBorder="1" applyAlignment="1">
      <alignment horizontal="left" vertical="center" wrapText="1"/>
    </xf>
    <xf numFmtId="0" fontId="7" fillId="0" borderId="1" xfId="0" applyFont="1" applyBorder="1" applyAlignment="1">
      <alignment horizontal="right" wrapText="1"/>
    </xf>
    <xf numFmtId="0" fontId="7" fillId="0" borderId="31" xfId="0" applyFont="1" applyBorder="1" applyAlignment="1">
      <alignment horizontal="right" wrapText="1"/>
    </xf>
    <xf numFmtId="0" fontId="7" fillId="0" borderId="2" xfId="0" applyFont="1" applyBorder="1" applyAlignment="1">
      <alignment horizontal="right" wrapText="1"/>
    </xf>
    <xf numFmtId="0" fontId="7" fillId="2" borderId="35" xfId="0" applyFont="1" applyFill="1" applyBorder="1" applyAlignment="1">
      <alignment horizontal="left" vertical="center"/>
    </xf>
    <xf numFmtId="0" fontId="7" fillId="2" borderId="36" xfId="0" applyFont="1" applyFill="1" applyBorder="1" applyAlignment="1">
      <alignment horizontal="left" vertical="center"/>
    </xf>
    <xf numFmtId="0" fontId="7" fillId="2" borderId="37" xfId="0" applyFont="1" applyFill="1" applyBorder="1" applyAlignment="1">
      <alignment horizontal="left" vertical="center"/>
    </xf>
    <xf numFmtId="0" fontId="5" fillId="0" borderId="34" xfId="0" applyFont="1" applyBorder="1" applyAlignment="1">
      <alignment horizontal="center" vertical="center"/>
    </xf>
    <xf numFmtId="0" fontId="5" fillId="0" borderId="0" xfId="0" applyFont="1" applyBorder="1" applyAlignment="1">
      <alignment horizontal="center" vertical="center"/>
    </xf>
    <xf numFmtId="0" fontId="5" fillId="0" borderId="28" xfId="0" applyFont="1" applyBorder="1" applyAlignment="1">
      <alignment horizontal="center" vertical="center"/>
    </xf>
    <xf numFmtId="0" fontId="7" fillId="0" borderId="34" xfId="0" applyFont="1" applyBorder="1" applyAlignment="1">
      <alignment vertical="center" wrapText="1"/>
    </xf>
    <xf numFmtId="0" fontId="7" fillId="0" borderId="0" xfId="0" applyFont="1" applyBorder="1" applyAlignment="1">
      <alignment vertical="center" wrapText="1"/>
    </xf>
    <xf numFmtId="0" fontId="7" fillId="0" borderId="28" xfId="0" applyFont="1" applyBorder="1" applyAlignment="1">
      <alignment vertical="center" wrapText="1"/>
    </xf>
    <xf numFmtId="0" fontId="7" fillId="0" borderId="26" xfId="0" applyFont="1" applyBorder="1" applyAlignment="1">
      <alignment horizontal="right" vertical="center"/>
    </xf>
    <xf numFmtId="6" fontId="7" fillId="0" borderId="46" xfId="1" applyFont="1" applyBorder="1" applyAlignment="1" applyProtection="1">
      <alignment horizontal="right" vertical="center"/>
      <protection locked="0"/>
    </xf>
    <xf numFmtId="6" fontId="7" fillId="0" borderId="6" xfId="1" applyFont="1" applyBorder="1" applyAlignment="1" applyProtection="1">
      <alignment horizontal="right" vertical="center"/>
      <protection locked="0"/>
    </xf>
    <xf numFmtId="0" fontId="7" fillId="0" borderId="60" xfId="0" applyFont="1" applyBorder="1" applyAlignment="1" applyProtection="1">
      <alignment horizontal="left" vertical="center" wrapText="1"/>
      <protection locked="0"/>
    </xf>
    <xf numFmtId="0" fontId="0" fillId="0" borderId="55" xfId="0" applyBorder="1" applyAlignment="1">
      <alignment horizontal="left" vertical="center" wrapText="1"/>
    </xf>
    <xf numFmtId="0" fontId="0" fillId="0" borderId="56" xfId="0" applyBorder="1" applyAlignment="1">
      <alignment horizontal="left" vertical="center" wrapText="1"/>
    </xf>
    <xf numFmtId="0" fontId="7" fillId="0" borderId="8" xfId="0" applyFont="1" applyBorder="1" applyAlignment="1">
      <alignment horizontal="left" vertical="center" shrinkToFit="1"/>
    </xf>
    <xf numFmtId="0" fontId="7" fillId="0" borderId="6" xfId="0" applyFont="1" applyBorder="1" applyAlignment="1" applyProtection="1">
      <alignment horizontal="left" vertical="center"/>
      <protection locked="0"/>
    </xf>
    <xf numFmtId="0" fontId="7" fillId="0" borderId="63" xfId="0" applyFont="1" applyBorder="1" applyAlignment="1">
      <alignment horizontal="left" vertical="center" shrinkToFit="1"/>
    </xf>
    <xf numFmtId="0" fontId="7" fillId="0" borderId="62" xfId="0" applyFont="1" applyBorder="1" applyAlignment="1">
      <alignment horizontal="left" vertical="center" shrinkToFit="1"/>
    </xf>
    <xf numFmtId="0" fontId="7" fillId="0" borderId="63" xfId="0" applyFont="1" applyBorder="1" applyAlignment="1" applyProtection="1">
      <alignment vertical="center" shrinkToFit="1"/>
      <protection locked="0"/>
    </xf>
    <xf numFmtId="0" fontId="7" fillId="0" borderId="64" xfId="0" applyFont="1" applyBorder="1" applyAlignment="1" applyProtection="1">
      <alignment vertical="center" shrinkToFit="1"/>
      <protection locked="0"/>
    </xf>
  </cellXfs>
  <cellStyles count="3">
    <cellStyle name="通貨" xfId="1" builtinId="7"/>
    <cellStyle name="標準" xfId="0" builtinId="0"/>
    <cellStyle name="標準_Sheet1" xfId="2" xr:uid="{767B36F1-FB8A-48A3-A6E0-BECA8F364933}"/>
  </cellStyles>
  <dxfs count="14">
    <dxf>
      <fill>
        <patternFill>
          <bgColor rgb="FFFFFF00"/>
        </patternFill>
      </fill>
    </dxf>
    <dxf>
      <fill>
        <patternFill>
          <bgColor rgb="FFFFFF00"/>
        </patternFill>
      </fill>
    </dxf>
    <dxf>
      <fill>
        <patternFill>
          <bgColor theme="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281940</xdr:colOff>
          <xdr:row>11</xdr:row>
          <xdr:rowOff>99060</xdr:rowOff>
        </xdr:from>
        <xdr:to>
          <xdr:col>1</xdr:col>
          <xdr:colOff>137160</xdr:colOff>
          <xdr:row>11</xdr:row>
          <xdr:rowOff>335280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1270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281940</xdr:colOff>
          <xdr:row>12</xdr:row>
          <xdr:rowOff>76200</xdr:rowOff>
        </xdr:from>
        <xdr:to>
          <xdr:col>1</xdr:col>
          <xdr:colOff>198120</xdr:colOff>
          <xdr:row>12</xdr:row>
          <xdr:rowOff>335280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3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87C75-C3B4-4F81-8778-462E3E1A5AFF}">
  <dimension ref="A1:H51"/>
  <sheetViews>
    <sheetView tabSelected="1" view="pageBreakPreview" zoomScaleNormal="100" zoomScaleSheetLayoutView="100" workbookViewId="0">
      <selection activeCell="J49" sqref="J49"/>
    </sheetView>
  </sheetViews>
  <sheetFormatPr defaultColWidth="9" defaultRowHeight="13.9"/>
  <cols>
    <col min="1" max="2" width="10.75" style="4" customWidth="1"/>
    <col min="3" max="4" width="10.25" style="4" customWidth="1"/>
    <col min="5" max="6" width="10.75" style="4" customWidth="1"/>
    <col min="7" max="8" width="10.25" style="4" customWidth="1"/>
    <col min="9" max="16384" width="9" style="4"/>
  </cols>
  <sheetData>
    <row r="1" spans="1:8" s="3" customFormat="1" ht="19.5" customHeight="1">
      <c r="A1" s="61" t="s">
        <v>0</v>
      </c>
      <c r="B1" s="2"/>
      <c r="C1" s="2"/>
      <c r="D1" s="2"/>
      <c r="E1" s="2"/>
      <c r="F1" s="2"/>
      <c r="G1" s="2"/>
      <c r="H1" s="2"/>
    </row>
    <row r="2" spans="1:8">
      <c r="H2" s="5" t="s">
        <v>1</v>
      </c>
    </row>
    <row r="3" spans="1:8" ht="21.6" thickBot="1">
      <c r="A3" s="6" t="s">
        <v>2</v>
      </c>
      <c r="B3" s="7"/>
      <c r="C3" s="7"/>
      <c r="D3" s="7"/>
      <c r="E3" s="7"/>
      <c r="F3" s="7"/>
      <c r="G3" s="7"/>
      <c r="H3" s="7"/>
    </row>
    <row r="4" spans="1:8" ht="13.15" customHeight="1">
      <c r="G4" s="116" t="s">
        <v>3</v>
      </c>
      <c r="H4" s="117"/>
    </row>
    <row r="5" spans="1:8" ht="18.399999999999999" customHeight="1" thickBot="1">
      <c r="G5" s="118" t="inlineStr">
        <is>
          <t>未公認（新規申請含む）</t>
        </is>
      </c>
      <c r="H5" s="119"/>
    </row>
    <row r="6" spans="1:8" ht="12.6" customHeight="1" thickBot="1">
      <c r="G6" s="120" t="s">
        <v>4</v>
      </c>
      <c r="H6" s="120"/>
    </row>
    <row r="7" spans="1:8" ht="18.399999999999999" customHeight="1" thickBot="1">
      <c r="A7" s="68" t="s">
        <v>5</v>
      </c>
      <c r="B7" s="121" t="str">
        <f>VLOOKUP(IF(G5&lt;&gt;"",G5,"XXX"),リスト!A2:B483,2,FALSE)&amp;""</f>
        <v>※サークル名を右の欄に別途入力してください</v>
      </c>
      <c r="C7" s="122"/>
      <c r="D7" s="122"/>
      <c r="E7" s="88" t="inlineStr">
        <is>
          <t>合成会計検証会</t>
        </is>
      </c>
      <c r="F7" s="88"/>
      <c r="G7" s="88"/>
      <c r="H7" s="89"/>
    </row>
    <row r="8" spans="1:8" ht="9" customHeight="1" thickBot="1"/>
    <row r="9" spans="1:8">
      <c r="A9" s="8" t="s">
        <v>6</v>
      </c>
      <c r="B9" s="123" t="s">
        <v>7</v>
      </c>
      <c r="C9" s="124"/>
      <c r="D9" s="125" t="inlineStr">
        <is>
          <t>00TEST001</t>
        </is>
      </c>
      <c r="E9" s="126"/>
      <c r="F9" s="126"/>
      <c r="G9" s="126"/>
      <c r="H9" s="127"/>
    </row>
    <row r="10" spans="1:8">
      <c r="A10" s="9"/>
      <c r="B10" s="111" t="s">
        <v>8</v>
      </c>
      <c r="C10" s="112"/>
      <c r="D10" s="113" t="inlineStr">
        <is>
          <t>検証 太郎</t>
        </is>
      </c>
      <c r="E10" s="114"/>
      <c r="F10" s="114"/>
      <c r="G10" s="114"/>
      <c r="H10" s="115"/>
    </row>
    <row r="11" spans="1:8">
      <c r="A11" s="9"/>
      <c r="B11" s="111" t="s">
        <v>9</v>
      </c>
      <c r="C11" s="112"/>
      <c r="D11" s="113" t="inlineStr">
        <is>
          <t>000-0000-0000</t>
        </is>
      </c>
      <c r="E11" s="114"/>
      <c r="F11" s="114"/>
      <c r="G11" s="114"/>
      <c r="H11" s="115"/>
    </row>
    <row r="12" spans="1:8" ht="13.5" customHeight="1" thickBot="1">
      <c r="A12" s="10"/>
      <c r="B12" s="204" t="s">
        <v>10</v>
      </c>
      <c r="C12" s="205"/>
      <c r="D12" s="206" t="inlineStr">
        <is>
          <t>会計</t>
        </is>
      </c>
      <c r="E12" s="128"/>
      <c r="F12" s="128"/>
      <c r="G12" s="128"/>
      <c r="H12" s="207"/>
    </row>
    <row r="13" spans="1:8" ht="7.5" customHeight="1"/>
    <row r="14" spans="1:8" ht="14.45" thickBot="1">
      <c r="A14" s="129" t="s">
        <v>11</v>
      </c>
      <c r="B14" s="129"/>
      <c r="C14" s="129"/>
      <c r="D14" s="129"/>
      <c r="E14" s="129"/>
      <c r="F14" s="129"/>
      <c r="G14" s="129"/>
      <c r="H14" s="129"/>
    </row>
    <row r="15" spans="1:8" ht="16.149999999999999">
      <c r="A15" s="11" t="s">
        <v>12</v>
      </c>
      <c r="B15" s="12"/>
      <c r="C15" s="12"/>
      <c r="D15" s="12"/>
      <c r="E15" s="12"/>
      <c r="F15" s="12"/>
      <c r="G15" s="12"/>
      <c r="H15" s="13"/>
    </row>
    <row r="16" spans="1:8">
      <c r="A16" s="52" t="s">
        <v>13</v>
      </c>
      <c r="B16" s="53"/>
      <c r="C16" s="53"/>
      <c r="D16" s="53"/>
      <c r="E16" s="53" t="s">
        <v>14</v>
      </c>
      <c r="F16" s="53"/>
      <c r="G16" s="53"/>
      <c r="H16" s="54"/>
    </row>
    <row r="17" spans="1:8">
      <c r="A17" s="107" t="s">
        <v>15</v>
      </c>
      <c r="B17" s="108"/>
      <c r="C17" s="109" t="s">
        <v>16</v>
      </c>
      <c r="D17" s="108"/>
      <c r="E17" s="109" t="s">
        <v>15</v>
      </c>
      <c r="F17" s="108"/>
      <c r="G17" s="109" t="s">
        <v>16</v>
      </c>
      <c r="H17" s="110"/>
    </row>
    <row r="18" spans="1:8" s="14" customFormat="1">
      <c r="A18" s="106" t="s">
        <v>17</v>
      </c>
      <c r="B18" s="95"/>
      <c r="C18" s="92">
        <v>10000</v>
      </c>
      <c r="D18" s="93"/>
      <c r="E18" s="94" t="s">
        <v>18</v>
      </c>
      <c r="F18" s="95"/>
      <c r="G18" s="92">
        <v>2500</v>
      </c>
      <c r="H18" s="96"/>
    </row>
    <row r="19" spans="1:8" s="14" customFormat="1">
      <c r="A19" s="106" t="s">
        <v>19</v>
      </c>
      <c r="B19" s="95"/>
      <c r="C19" s="92">
        <v>20000</v>
      </c>
      <c r="D19" s="93"/>
      <c r="E19" s="94" t="s">
        <v>20</v>
      </c>
      <c r="F19" s="95"/>
      <c r="G19" s="92">
        <v>1200</v>
      </c>
      <c r="H19" s="96"/>
    </row>
    <row r="20" spans="1:8" s="14" customFormat="1">
      <c r="A20" s="106" t="s">
        <v>21</v>
      </c>
      <c r="B20" s="95"/>
      <c r="C20" s="92">
        <v>5000</v>
      </c>
      <c r="D20" s="93"/>
      <c r="E20" s="94" t="s">
        <v>22</v>
      </c>
      <c r="F20" s="95"/>
      <c r="G20" s="92">
        <v>0</v>
      </c>
      <c r="H20" s="96"/>
    </row>
    <row r="21" spans="1:8" s="14" customFormat="1">
      <c r="A21" s="106" t="s">
        <v>23</v>
      </c>
      <c r="B21" s="95"/>
      <c r="C21" s="92">
        <v>0</v>
      </c>
      <c r="D21" s="93"/>
      <c r="E21" s="94" t="s">
        <v>24</v>
      </c>
      <c r="F21" s="95"/>
      <c r="G21" s="92">
        <v>0</v>
      </c>
      <c r="H21" s="96"/>
    </row>
    <row r="22" spans="1:8" s="14" customFormat="1">
      <c r="A22" s="105" t="s">
        <v>25</v>
      </c>
      <c r="B22" s="104"/>
      <c r="C22" s="92">
        <v>0</v>
      </c>
      <c r="D22" s="93"/>
      <c r="E22" s="94" t="s">
        <v>26</v>
      </c>
      <c r="F22" s="95"/>
      <c r="G22" s="92">
        <v>0</v>
      </c>
      <c r="H22" s="96"/>
    </row>
    <row r="23" spans="1:8" s="14" customFormat="1">
      <c r="A23" s="105" t="s">
        <v>27</v>
      </c>
      <c r="B23" s="104"/>
      <c r="C23" s="92">
        <v>0</v>
      </c>
      <c r="D23" s="93"/>
      <c r="E23" s="94" t="s">
        <v>28</v>
      </c>
      <c r="F23" s="95"/>
      <c r="G23" s="92">
        <v>0</v>
      </c>
      <c r="H23" s="96"/>
    </row>
    <row r="24" spans="1:8" s="14" customFormat="1">
      <c r="A24" s="105" t="s">
        <v>29</v>
      </c>
      <c r="B24" s="104"/>
      <c r="C24" s="92">
        <v>0</v>
      </c>
      <c r="D24" s="93"/>
      <c r="E24" s="94" t="s">
        <v>30</v>
      </c>
      <c r="F24" s="95"/>
      <c r="G24" s="92">
        <v>0</v>
      </c>
      <c r="H24" s="96"/>
    </row>
    <row r="25" spans="1:8" s="14" customFormat="1">
      <c r="A25" s="105" t="s">
        <v>31</v>
      </c>
      <c r="B25" s="104"/>
      <c r="C25" s="92">
        <v>0</v>
      </c>
      <c r="D25" s="93"/>
      <c r="E25" s="94" t="s">
        <v>32</v>
      </c>
      <c r="F25" s="95"/>
      <c r="G25" s="92">
        <v>0</v>
      </c>
      <c r="H25" s="96"/>
    </row>
    <row r="26" spans="1:8" s="14" customFormat="1">
      <c r="A26" s="105" t="s">
        <v>33</v>
      </c>
      <c r="B26" s="104"/>
      <c r="C26" s="92">
        <v>0</v>
      </c>
      <c r="D26" s="93"/>
      <c r="E26" s="94" t="s">
        <v>34</v>
      </c>
      <c r="F26" s="95"/>
      <c r="G26" s="92">
        <v>3000</v>
      </c>
      <c r="H26" s="96"/>
    </row>
    <row r="27" spans="1:8" s="14" customFormat="1">
      <c r="A27" s="105" t="s">
        <v>35</v>
      </c>
      <c r="B27" s="104"/>
      <c r="C27" s="92">
        <v>0</v>
      </c>
      <c r="D27" s="93"/>
      <c r="E27" s="94" t="s">
        <v>36</v>
      </c>
      <c r="F27" s="95"/>
      <c r="G27" s="92">
        <v>0</v>
      </c>
      <c r="H27" s="96"/>
    </row>
    <row r="28" spans="1:8" s="14" customFormat="1">
      <c r="A28" s="105" t="s">
        <v>37</v>
      </c>
      <c r="B28" s="104"/>
      <c r="C28" s="92">
        <v>0</v>
      </c>
      <c r="D28" s="93"/>
      <c r="E28" s="94" t="s">
        <v>38</v>
      </c>
      <c r="F28" s="95"/>
      <c r="G28" s="92">
        <v>0</v>
      </c>
      <c r="H28" s="96"/>
    </row>
    <row r="29" spans="1:8" s="14" customFormat="1">
      <c r="A29" s="105" t="s">
        <v>39</v>
      </c>
      <c r="B29" s="104"/>
      <c r="C29" s="92">
        <v>0</v>
      </c>
      <c r="D29" s="93"/>
      <c r="E29" s="94" t="s">
        <v>40</v>
      </c>
      <c r="F29" s="95"/>
      <c r="G29" s="92">
        <v>0</v>
      </c>
      <c r="H29" s="96"/>
    </row>
    <row r="30" spans="1:8" s="14" customFormat="1">
      <c r="A30" s="105" t="s">
        <v>41</v>
      </c>
      <c r="B30" s="104"/>
      <c r="C30" s="92">
        <v>0</v>
      </c>
      <c r="D30" s="93"/>
      <c r="E30" s="94" t="s">
        <v>42</v>
      </c>
      <c r="F30" s="95"/>
      <c r="G30" s="92">
        <v>0</v>
      </c>
      <c r="H30" s="96"/>
    </row>
    <row r="31" spans="1:8" s="14" customFormat="1">
      <c r="A31" s="105" t="s">
        <v>43</v>
      </c>
      <c r="B31" s="104"/>
      <c r="C31" s="92">
        <v>0</v>
      </c>
      <c r="D31" s="93"/>
      <c r="E31" s="94" t="s">
        <v>44</v>
      </c>
      <c r="F31" s="95"/>
      <c r="G31" s="92">
        <v>0</v>
      </c>
      <c r="H31" s="96"/>
    </row>
    <row r="32" spans="1:8" s="14" customFormat="1">
      <c r="A32" s="105" t="s">
        <v>45</v>
      </c>
      <c r="B32" s="104"/>
      <c r="C32" s="92">
        <v>0</v>
      </c>
      <c r="D32" s="93"/>
      <c r="E32" s="94" t="s">
        <v>46</v>
      </c>
      <c r="F32" s="95"/>
      <c r="G32" s="92">
        <v>0</v>
      </c>
      <c r="H32" s="96"/>
    </row>
    <row r="33" spans="1:8" s="14" customFormat="1">
      <c r="A33" s="90"/>
      <c r="B33" s="91"/>
      <c r="C33" s="92"/>
      <c r="D33" s="93"/>
      <c r="E33" s="94" t="s">
        <v>47</v>
      </c>
      <c r="F33" s="95"/>
      <c r="G33" s="92">
        <v>0</v>
      </c>
      <c r="H33" s="96"/>
    </row>
    <row r="34" spans="1:8" s="14" customFormat="1">
      <c r="A34" s="90"/>
      <c r="B34" s="91"/>
      <c r="C34" s="92"/>
      <c r="D34" s="93"/>
      <c r="E34" s="103" t="s">
        <v>48</v>
      </c>
      <c r="F34" s="104"/>
      <c r="G34" s="92">
        <v>0</v>
      </c>
      <c r="H34" s="96"/>
    </row>
    <row r="35" spans="1:8" s="14" customFormat="1">
      <c r="A35" s="90"/>
      <c r="B35" s="91"/>
      <c r="C35" s="92"/>
      <c r="D35" s="93"/>
      <c r="E35" s="103" t="s">
        <v>49</v>
      </c>
      <c r="F35" s="104"/>
      <c r="G35" s="92">
        <v>0</v>
      </c>
      <c r="H35" s="96"/>
    </row>
    <row r="36" spans="1:8" s="14" customFormat="1">
      <c r="A36" s="90"/>
      <c r="B36" s="91"/>
      <c r="C36" s="92"/>
      <c r="D36" s="93"/>
      <c r="E36" s="103" t="s">
        <v>50</v>
      </c>
      <c r="F36" s="104"/>
      <c r="G36" s="92">
        <v>0</v>
      </c>
      <c r="H36" s="96"/>
    </row>
    <row r="37" spans="1:8" s="14" customFormat="1">
      <c r="A37" s="90"/>
      <c r="B37" s="91"/>
      <c r="C37" s="92"/>
      <c r="D37" s="93"/>
      <c r="E37" s="103" t="s">
        <v>51</v>
      </c>
      <c r="F37" s="104"/>
      <c r="G37" s="92">
        <v>0</v>
      </c>
      <c r="H37" s="96"/>
    </row>
    <row r="38" spans="1:8" s="14" customFormat="1">
      <c r="A38" s="90"/>
      <c r="B38" s="91"/>
      <c r="C38" s="92"/>
      <c r="D38" s="93"/>
      <c r="E38" s="103" t="s">
        <v>52</v>
      </c>
      <c r="F38" s="104"/>
      <c r="G38" s="92">
        <v>0</v>
      </c>
      <c r="H38" s="96"/>
    </row>
    <row r="39" spans="1:8" s="14" customFormat="1">
      <c r="A39" s="90"/>
      <c r="B39" s="91"/>
      <c r="C39" s="92"/>
      <c r="D39" s="93"/>
      <c r="E39" s="103" t="s">
        <v>53</v>
      </c>
      <c r="F39" s="104"/>
      <c r="G39" s="92">
        <v>0</v>
      </c>
      <c r="H39" s="96"/>
    </row>
    <row r="40" spans="1:8" s="14" customFormat="1">
      <c r="A40" s="90"/>
      <c r="B40" s="91"/>
      <c r="C40" s="92"/>
      <c r="D40" s="93"/>
      <c r="E40" s="103" t="s">
        <v>54</v>
      </c>
      <c r="F40" s="104"/>
      <c r="G40" s="92">
        <v>0</v>
      </c>
      <c r="H40" s="96"/>
    </row>
    <row r="41" spans="1:8" s="14" customFormat="1">
      <c r="A41" s="90"/>
      <c r="B41" s="91"/>
      <c r="C41" s="92"/>
      <c r="D41" s="93"/>
      <c r="E41" s="103" t="s">
        <v>55</v>
      </c>
      <c r="F41" s="104"/>
      <c r="G41" s="92">
        <v>0</v>
      </c>
      <c r="H41" s="96"/>
    </row>
    <row r="42" spans="1:8" s="14" customFormat="1">
      <c r="A42" s="90"/>
      <c r="B42" s="91"/>
      <c r="C42" s="92"/>
      <c r="D42" s="93"/>
      <c r="E42" s="103" t="s">
        <v>56</v>
      </c>
      <c r="F42" s="104"/>
      <c r="G42" s="92">
        <v>0</v>
      </c>
      <c r="H42" s="96"/>
    </row>
    <row r="43" spans="1:8" s="14" customFormat="1">
      <c r="A43" s="90"/>
      <c r="B43" s="91"/>
      <c r="C43" s="92"/>
      <c r="D43" s="93"/>
      <c r="E43" s="103" t="s">
        <v>57</v>
      </c>
      <c r="F43" s="104"/>
      <c r="G43" s="92">
        <v>0</v>
      </c>
      <c r="H43" s="96"/>
    </row>
    <row r="44" spans="1:8" s="14" customFormat="1">
      <c r="A44" s="90"/>
      <c r="B44" s="91"/>
      <c r="C44" s="92"/>
      <c r="D44" s="93"/>
      <c r="E44" s="94" t="s">
        <v>58</v>
      </c>
      <c r="F44" s="95"/>
      <c r="G44" s="92">
        <f>C45-SUM(G18:H43)</f>
        <v>28300</v>
      </c>
      <c r="H44" s="96"/>
    </row>
    <row r="45" spans="1:8" ht="14.45" thickBot="1">
      <c r="A45" s="97" t="s">
        <v>59</v>
      </c>
      <c r="B45" s="98"/>
      <c r="C45" s="99">
        <f>SUM(C18:D44)</f>
        <v>35000</v>
      </c>
      <c r="D45" s="100"/>
      <c r="E45" s="101" t="s">
        <v>60</v>
      </c>
      <c r="F45" s="98"/>
      <c r="G45" s="99">
        <f>SUM(G18:H44)</f>
        <v>35000</v>
      </c>
      <c r="H45" s="102"/>
    </row>
    <row r="46" spans="1:8" ht="7.5" customHeight="1" thickBot="1"/>
    <row r="47" spans="1:8" ht="19.149999999999999" customHeight="1" thickBot="1">
      <c r="A47" s="84" t="s">
        <v>61</v>
      </c>
      <c r="B47" s="85"/>
      <c r="C47" s="86" t="inlineStr">
        <is>
          <t>2026/04/03</t>
        </is>
      </c>
      <c r="D47" s="85"/>
      <c r="E47" s="85"/>
      <c r="F47" s="87"/>
    </row>
    <row r="48" spans="1:8" ht="7.5" customHeight="1"/>
    <row r="49" spans="1:8" ht="29.65" customHeight="1">
      <c r="A49" s="83" t="s">
        <v>62</v>
      </c>
      <c r="B49" s="83"/>
      <c r="C49" s="83"/>
      <c r="D49" s="83"/>
      <c r="E49" s="83"/>
      <c r="F49" s="83"/>
      <c r="G49" s="83"/>
      <c r="H49" s="83"/>
    </row>
    <row r="50" spans="1:8" ht="28.9" customHeight="1">
      <c r="A50" s="83" t="s">
        <v>63</v>
      </c>
      <c r="B50" s="83"/>
      <c r="C50" s="83"/>
      <c r="D50" s="83"/>
      <c r="E50" s="83"/>
      <c r="F50" s="83"/>
      <c r="G50" s="83"/>
      <c r="H50" s="83"/>
    </row>
    <row r="51" spans="1:8" ht="28.9" customHeight="1">
      <c r="A51" s="83" t="s">
        <v>64</v>
      </c>
      <c r="B51" s="83"/>
      <c r="C51" s="83"/>
      <c r="D51" s="83"/>
      <c r="E51" s="83"/>
      <c r="F51" s="83"/>
      <c r="G51" s="83"/>
      <c r="H51" s="83"/>
    </row>
  </sheetData>
  <mergeCells count="135">
    <mergeCell ref="G4:H4"/>
    <mergeCell ref="G5:H5"/>
    <mergeCell ref="G6:H6"/>
    <mergeCell ref="B7:D7"/>
    <mergeCell ref="B9:C9"/>
    <mergeCell ref="D9:H9"/>
    <mergeCell ref="B12:C12"/>
    <mergeCell ref="D12:H12"/>
    <mergeCell ref="A14:H14"/>
    <mergeCell ref="A17:B17"/>
    <mergeCell ref="C17:D17"/>
    <mergeCell ref="E17:F17"/>
    <mergeCell ref="G17:H17"/>
    <mergeCell ref="B10:C10"/>
    <mergeCell ref="D10:H10"/>
    <mergeCell ref="B11:C11"/>
    <mergeCell ref="D11:H11"/>
    <mergeCell ref="A20:B20"/>
    <mergeCell ref="C20:D20"/>
    <mergeCell ref="E20:F20"/>
    <mergeCell ref="G20:H20"/>
    <mergeCell ref="A21:B21"/>
    <mergeCell ref="C21:D21"/>
    <mergeCell ref="E21:F21"/>
    <mergeCell ref="G21:H21"/>
    <mergeCell ref="A18:B18"/>
    <mergeCell ref="C18:D18"/>
    <mergeCell ref="E18:F18"/>
    <mergeCell ref="G18:H18"/>
    <mergeCell ref="A19:B19"/>
    <mergeCell ref="C19:D19"/>
    <mergeCell ref="E19:F19"/>
    <mergeCell ref="G19:H19"/>
    <mergeCell ref="A24:B24"/>
    <mergeCell ref="C24:D24"/>
    <mergeCell ref="E24:F24"/>
    <mergeCell ref="G24:H24"/>
    <mergeCell ref="A25:B25"/>
    <mergeCell ref="C25:D25"/>
    <mergeCell ref="E25:F25"/>
    <mergeCell ref="G25:H25"/>
    <mergeCell ref="A22:B22"/>
    <mergeCell ref="C22:D22"/>
    <mergeCell ref="E22:F22"/>
    <mergeCell ref="G22:H22"/>
    <mergeCell ref="A23:B23"/>
    <mergeCell ref="C23:D23"/>
    <mergeCell ref="E23:F23"/>
    <mergeCell ref="G23:H23"/>
    <mergeCell ref="A28:B28"/>
    <mergeCell ref="C28:D28"/>
    <mergeCell ref="E28:F28"/>
    <mergeCell ref="G28:H28"/>
    <mergeCell ref="A29:B29"/>
    <mergeCell ref="C29:D29"/>
    <mergeCell ref="E29:F29"/>
    <mergeCell ref="G29:H29"/>
    <mergeCell ref="A26:B26"/>
    <mergeCell ref="C26:D26"/>
    <mergeCell ref="E26:F26"/>
    <mergeCell ref="G26:H26"/>
    <mergeCell ref="A27:B27"/>
    <mergeCell ref="C27:D27"/>
    <mergeCell ref="E27:F27"/>
    <mergeCell ref="G27:H27"/>
    <mergeCell ref="A32:B32"/>
    <mergeCell ref="C32:D32"/>
    <mergeCell ref="E32:F32"/>
    <mergeCell ref="G32:H32"/>
    <mergeCell ref="A33:B33"/>
    <mergeCell ref="C33:D33"/>
    <mergeCell ref="E33:F33"/>
    <mergeCell ref="G33:H33"/>
    <mergeCell ref="A30:B30"/>
    <mergeCell ref="C30:D30"/>
    <mergeCell ref="E30:F30"/>
    <mergeCell ref="G30:H30"/>
    <mergeCell ref="A31:B31"/>
    <mergeCell ref="C31:D31"/>
    <mergeCell ref="E31:F31"/>
    <mergeCell ref="G31:H31"/>
    <mergeCell ref="A36:B36"/>
    <mergeCell ref="C36:D36"/>
    <mergeCell ref="E36:F36"/>
    <mergeCell ref="G36:H36"/>
    <mergeCell ref="A37:B37"/>
    <mergeCell ref="C37:D37"/>
    <mergeCell ref="E37:F37"/>
    <mergeCell ref="G37:H37"/>
    <mergeCell ref="A34:B34"/>
    <mergeCell ref="C34:D34"/>
    <mergeCell ref="E34:F34"/>
    <mergeCell ref="G34:H34"/>
    <mergeCell ref="A35:B35"/>
    <mergeCell ref="C35:D35"/>
    <mergeCell ref="E35:F35"/>
    <mergeCell ref="G35:H35"/>
    <mergeCell ref="E40:F40"/>
    <mergeCell ref="G40:H40"/>
    <mergeCell ref="A41:B41"/>
    <mergeCell ref="C41:D41"/>
    <mergeCell ref="E41:F41"/>
    <mergeCell ref="G41:H41"/>
    <mergeCell ref="A38:B38"/>
    <mergeCell ref="C38:D38"/>
    <mergeCell ref="E38:F38"/>
    <mergeCell ref="G38:H38"/>
    <mergeCell ref="A39:B39"/>
    <mergeCell ref="C39:D39"/>
    <mergeCell ref="E39:F39"/>
    <mergeCell ref="G39:H39"/>
    <mergeCell ref="A49:H49"/>
    <mergeCell ref="A50:H50"/>
    <mergeCell ref="A51:H51"/>
    <mergeCell ref="A47:B47"/>
    <mergeCell ref="C47:F47"/>
    <mergeCell ref="E7:H7"/>
    <mergeCell ref="A44:B44"/>
    <mergeCell ref="C44:D44"/>
    <mergeCell ref="E44:F44"/>
    <mergeCell ref="G44:H44"/>
    <mergeCell ref="A45:B45"/>
    <mergeCell ref="C45:D45"/>
    <mergeCell ref="E45:F45"/>
    <mergeCell ref="G45:H45"/>
    <mergeCell ref="A42:B42"/>
    <mergeCell ref="C42:D42"/>
    <mergeCell ref="E42:F42"/>
    <mergeCell ref="G42:H42"/>
    <mergeCell ref="A43:B43"/>
    <mergeCell ref="C43:D43"/>
    <mergeCell ref="E43:F43"/>
    <mergeCell ref="G43:H43"/>
    <mergeCell ref="A40:B40"/>
    <mergeCell ref="C40:D40"/>
  </mergeCells>
  <phoneticPr fontId="1"/>
  <conditionalFormatting sqref="B7:D7">
    <cfRule type="cellIs" dxfId="13" priority="2" operator="equal">
      <formula>G5=""</formula>
    </cfRule>
  </conditionalFormatting>
  <conditionalFormatting sqref="D9:H12">
    <cfRule type="cellIs" dxfId="12" priority="1" operator="equal">
      <formula>""</formula>
    </cfRule>
  </conditionalFormatting>
  <conditionalFormatting sqref="E7">
    <cfRule type="expression" dxfId="11" priority="8">
      <formula>IF(AND(G5="未公認",E7=""),TRUE,FALSE)</formula>
    </cfRule>
  </conditionalFormatting>
  <conditionalFormatting sqref="F7">
    <cfRule type="expression" dxfId="10" priority="5">
      <formula>IF(AND(I5="未公認",F7=""),TRUE,FALSE)</formula>
    </cfRule>
  </conditionalFormatting>
  <conditionalFormatting sqref="G5">
    <cfRule type="cellIs" dxfId="9" priority="6" operator="equal">
      <formula>E7&lt;&gt;""</formula>
    </cfRule>
    <cfRule type="cellIs" dxfId="8" priority="7" operator="equal">
      <formula>""</formula>
    </cfRule>
  </conditionalFormatting>
  <conditionalFormatting sqref="G5:H5">
    <cfRule type="cellIs" dxfId="7" priority="3" operator="equal">
      <formula>""</formula>
    </cfRule>
  </conditionalFormatting>
  <conditionalFormatting sqref="H2">
    <cfRule type="cellIs" dxfId="6" priority="4" operator="equal">
      <formula>"yyyy/mm/dd"</formula>
    </cfRule>
  </conditionalFormatting>
  <pageMargins left="0.70866141732283472" right="0.70866141732283472" top="0.74803149606299213" bottom="0.74803149606299213" header="0.31496062992125984" footer="0.31496062992125984"/>
  <pageSetup paperSize="9" scale="94"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BEE0AE27-F1BD-4CB0-9AD1-DAFE6DAF5844}">
          <x14:formula1>
            <xm:f>リスト!$A$2:$A$483</xm:f>
          </x14:formula1>
          <xm:sqref>G5:H5</xm:sqref>
        </x14:dataValidation>
        <x14:dataValidation type="list" allowBlank="1" showInputMessage="1" showErrorMessage="1" xr:uid="{56FDBC54-496D-45CF-83A1-1E132F672FBC}">
          <x14:formula1>
            <xm:f>リスト!$D$2:$D$4</xm:f>
          </x14:formula1>
          <xm:sqref>D12:H12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4E3E-FC0F-4187-AF13-F5C5D6DE7834}">
  <dimension ref="A1:I55"/>
  <sheetViews>
    <sheetView view="pageBreakPreview" zoomScale="115" zoomScaleNormal="115" zoomScaleSheetLayoutView="115" workbookViewId="0">
      <selection activeCell="A2" sqref="A2"/>
    </sheetView>
  </sheetViews>
  <sheetFormatPr defaultColWidth="9" defaultRowHeight="14.45"/>
  <cols>
    <col min="1" max="16384" width="9" style="1"/>
  </cols>
  <sheetData>
    <row r="1" spans="1:9" ht="18.600000000000001" thickBot="1">
      <c r="A1" s="15" t="s">
        <v>65</v>
      </c>
      <c r="B1" s="16"/>
      <c r="C1" s="16"/>
      <c r="D1" s="16"/>
      <c r="E1" s="16"/>
      <c r="F1" s="16"/>
      <c r="G1" s="16"/>
      <c r="H1" s="16"/>
      <c r="I1" s="17"/>
    </row>
    <row r="2" spans="1:9" ht="15" thickBot="1">
      <c r="A2" s="18" t="s">
        <v>66</v>
      </c>
      <c r="B2" s="148" t="s">
        <v>67</v>
      </c>
      <c r="C2" s="149"/>
      <c r="D2" s="149"/>
      <c r="E2" s="149"/>
      <c r="F2" s="149"/>
      <c r="G2" s="149"/>
      <c r="H2" s="149"/>
      <c r="I2" s="150"/>
    </row>
    <row r="3" spans="1:9" ht="13.5" customHeight="1">
      <c r="A3" s="19" t="s">
        <v>68</v>
      </c>
      <c r="B3" s="138" t="s">
        <v>69</v>
      </c>
      <c r="C3" s="139"/>
      <c r="D3" s="139"/>
      <c r="E3" s="139"/>
      <c r="F3" s="130" t="s">
        <v>70</v>
      </c>
      <c r="G3" s="130"/>
      <c r="H3" s="130"/>
      <c r="I3" s="131"/>
    </row>
    <row r="4" spans="1:9">
      <c r="A4" s="9"/>
      <c r="B4" s="140" t="s">
        <v>71</v>
      </c>
      <c r="C4" s="129"/>
      <c r="D4" s="129"/>
      <c r="E4" s="129"/>
      <c r="F4" s="132"/>
      <c r="G4" s="132"/>
      <c r="H4" s="132"/>
      <c r="I4" s="133"/>
    </row>
    <row r="5" spans="1:9">
      <c r="A5" s="20"/>
      <c r="B5" s="141" t="s">
        <v>72</v>
      </c>
      <c r="C5" s="142"/>
      <c r="D5" s="142"/>
      <c r="E5" s="142"/>
      <c r="F5" s="134"/>
      <c r="G5" s="134"/>
      <c r="H5" s="134"/>
      <c r="I5" s="135"/>
    </row>
    <row r="6" spans="1:9">
      <c r="A6" s="55" t="s">
        <v>73</v>
      </c>
      <c r="B6" s="137" t="s">
        <v>74</v>
      </c>
      <c r="C6" s="137"/>
      <c r="D6" s="137"/>
      <c r="E6" s="137"/>
      <c r="F6" s="137" t="s">
        <v>74</v>
      </c>
      <c r="G6" s="137"/>
      <c r="H6" s="137"/>
      <c r="I6" s="143"/>
    </row>
    <row r="7" spans="1:9">
      <c r="A7" s="21"/>
      <c r="B7" s="129" t="s">
        <v>74</v>
      </c>
      <c r="C7" s="129"/>
      <c r="D7" s="129"/>
      <c r="E7" s="129"/>
      <c r="F7" s="129" t="s">
        <v>74</v>
      </c>
      <c r="G7" s="129"/>
      <c r="H7" s="129"/>
      <c r="I7" s="144"/>
    </row>
    <row r="8" spans="1:9">
      <c r="A8" s="21"/>
      <c r="B8" s="129" t="s">
        <v>74</v>
      </c>
      <c r="C8" s="129"/>
      <c r="D8" s="129"/>
      <c r="E8" s="129"/>
      <c r="F8" s="129" t="s">
        <v>74</v>
      </c>
      <c r="G8" s="129"/>
      <c r="H8" s="129"/>
      <c r="I8" s="144"/>
    </row>
    <row r="9" spans="1:9">
      <c r="A9" s="22"/>
      <c r="B9" s="136" t="s">
        <v>74</v>
      </c>
      <c r="C9" s="136"/>
      <c r="D9" s="136"/>
      <c r="E9" s="136"/>
      <c r="F9" s="136" t="s">
        <v>74</v>
      </c>
      <c r="G9" s="136"/>
      <c r="H9" s="136"/>
      <c r="I9" s="145"/>
    </row>
    <row r="10" spans="1:9">
      <c r="A10" s="55" t="s">
        <v>75</v>
      </c>
      <c r="B10" s="137" t="s">
        <v>74</v>
      </c>
      <c r="C10" s="137"/>
      <c r="D10" s="137"/>
      <c r="E10" s="137"/>
      <c r="F10" s="137" t="s">
        <v>74</v>
      </c>
      <c r="G10" s="137"/>
      <c r="H10" s="137"/>
      <c r="I10" s="143"/>
    </row>
    <row r="11" spans="1:9">
      <c r="A11" s="21"/>
      <c r="B11" s="129" t="s">
        <v>74</v>
      </c>
      <c r="C11" s="129"/>
      <c r="D11" s="129"/>
      <c r="E11" s="129"/>
      <c r="F11" s="129" t="s">
        <v>74</v>
      </c>
      <c r="G11" s="129"/>
      <c r="H11" s="129"/>
      <c r="I11" s="144"/>
    </row>
    <row r="12" spans="1:9">
      <c r="A12" s="21"/>
      <c r="B12" s="129" t="s">
        <v>74</v>
      </c>
      <c r="C12" s="129"/>
      <c r="D12" s="129"/>
      <c r="E12" s="129"/>
      <c r="F12" s="129" t="s">
        <v>74</v>
      </c>
      <c r="G12" s="129"/>
      <c r="H12" s="129"/>
      <c r="I12" s="144"/>
    </row>
    <row r="13" spans="1:9">
      <c r="A13" s="22"/>
      <c r="B13" s="136" t="s">
        <v>74</v>
      </c>
      <c r="C13" s="136"/>
      <c r="D13" s="136"/>
      <c r="E13" s="136"/>
      <c r="F13" s="136" t="s">
        <v>74</v>
      </c>
      <c r="G13" s="136"/>
      <c r="H13" s="136"/>
      <c r="I13" s="145"/>
    </row>
    <row r="14" spans="1:9">
      <c r="A14" s="55" t="s">
        <v>76</v>
      </c>
      <c r="B14" s="137" t="s">
        <v>74</v>
      </c>
      <c r="C14" s="137"/>
      <c r="D14" s="137"/>
      <c r="E14" s="137"/>
      <c r="F14" s="137" t="s">
        <v>74</v>
      </c>
      <c r="G14" s="137"/>
      <c r="H14" s="137"/>
      <c r="I14" s="143"/>
    </row>
    <row r="15" spans="1:9">
      <c r="A15" s="21"/>
      <c r="B15" s="129" t="s">
        <v>74</v>
      </c>
      <c r="C15" s="129"/>
      <c r="D15" s="129"/>
      <c r="E15" s="129"/>
      <c r="F15" s="129" t="s">
        <v>74</v>
      </c>
      <c r="G15" s="129"/>
      <c r="H15" s="129"/>
      <c r="I15" s="144"/>
    </row>
    <row r="16" spans="1:9">
      <c r="A16" s="21"/>
      <c r="B16" s="129" t="s">
        <v>74</v>
      </c>
      <c r="C16" s="129"/>
      <c r="D16" s="129"/>
      <c r="E16" s="129"/>
      <c r="F16" s="129" t="s">
        <v>74</v>
      </c>
      <c r="G16" s="129"/>
      <c r="H16" s="129"/>
      <c r="I16" s="144"/>
    </row>
    <row r="17" spans="1:9">
      <c r="A17" s="22"/>
      <c r="B17" s="136" t="s">
        <v>74</v>
      </c>
      <c r="C17" s="136"/>
      <c r="D17" s="136"/>
      <c r="E17" s="136"/>
      <c r="F17" s="136" t="s">
        <v>74</v>
      </c>
      <c r="G17" s="136"/>
      <c r="H17" s="136"/>
      <c r="I17" s="145"/>
    </row>
    <row r="18" spans="1:9">
      <c r="A18" s="55" t="s">
        <v>77</v>
      </c>
      <c r="B18" s="137" t="s">
        <v>74</v>
      </c>
      <c r="C18" s="137"/>
      <c r="D18" s="137"/>
      <c r="E18" s="137"/>
      <c r="F18" s="137" t="s">
        <v>74</v>
      </c>
      <c r="G18" s="137"/>
      <c r="H18" s="137"/>
      <c r="I18" s="143"/>
    </row>
    <row r="19" spans="1:9">
      <c r="A19" s="21"/>
      <c r="B19" s="129" t="s">
        <v>74</v>
      </c>
      <c r="C19" s="129"/>
      <c r="D19" s="129"/>
      <c r="E19" s="129"/>
      <c r="F19" s="129" t="s">
        <v>74</v>
      </c>
      <c r="G19" s="129"/>
      <c r="H19" s="129"/>
      <c r="I19" s="144"/>
    </row>
    <row r="20" spans="1:9">
      <c r="A20" s="21"/>
      <c r="B20" s="129" t="s">
        <v>74</v>
      </c>
      <c r="C20" s="129"/>
      <c r="D20" s="129"/>
      <c r="E20" s="129"/>
      <c r="F20" s="129" t="s">
        <v>74</v>
      </c>
      <c r="G20" s="129"/>
      <c r="H20" s="129"/>
      <c r="I20" s="144"/>
    </row>
    <row r="21" spans="1:9">
      <c r="A21" s="22"/>
      <c r="B21" s="136" t="s">
        <v>74</v>
      </c>
      <c r="C21" s="136"/>
      <c r="D21" s="136"/>
      <c r="E21" s="136"/>
      <c r="F21" s="136" t="s">
        <v>74</v>
      </c>
      <c r="G21" s="136"/>
      <c r="H21" s="136"/>
      <c r="I21" s="145"/>
    </row>
    <row r="22" spans="1:9">
      <c r="A22" s="55" t="s">
        <v>78</v>
      </c>
      <c r="B22" s="137" t="s">
        <v>74</v>
      </c>
      <c r="C22" s="137"/>
      <c r="D22" s="137"/>
      <c r="E22" s="137"/>
      <c r="F22" s="137" t="s">
        <v>74</v>
      </c>
      <c r="G22" s="137"/>
      <c r="H22" s="137"/>
      <c r="I22" s="143"/>
    </row>
    <row r="23" spans="1:9">
      <c r="A23" s="21"/>
      <c r="B23" s="129" t="s">
        <v>74</v>
      </c>
      <c r="C23" s="129"/>
      <c r="D23" s="129"/>
      <c r="E23" s="129"/>
      <c r="F23" s="129" t="s">
        <v>74</v>
      </c>
      <c r="G23" s="129"/>
      <c r="H23" s="129"/>
      <c r="I23" s="144"/>
    </row>
    <row r="24" spans="1:9">
      <c r="A24" s="21"/>
      <c r="B24" s="129" t="s">
        <v>74</v>
      </c>
      <c r="C24" s="129"/>
      <c r="D24" s="129"/>
      <c r="E24" s="129"/>
      <c r="F24" s="129" t="s">
        <v>74</v>
      </c>
      <c r="G24" s="129"/>
      <c r="H24" s="129"/>
      <c r="I24" s="144"/>
    </row>
    <row r="25" spans="1:9">
      <c r="A25" s="22"/>
      <c r="B25" s="136" t="s">
        <v>74</v>
      </c>
      <c r="C25" s="136"/>
      <c r="D25" s="136"/>
      <c r="E25" s="136"/>
      <c r="F25" s="136" t="s">
        <v>74</v>
      </c>
      <c r="G25" s="136"/>
      <c r="H25" s="136"/>
      <c r="I25" s="145"/>
    </row>
    <row r="26" spans="1:9">
      <c r="A26" s="55" t="s">
        <v>79</v>
      </c>
      <c r="B26" s="137" t="s">
        <v>74</v>
      </c>
      <c r="C26" s="137"/>
      <c r="D26" s="137"/>
      <c r="E26" s="137"/>
      <c r="F26" s="137" t="s">
        <v>74</v>
      </c>
      <c r="G26" s="137"/>
      <c r="H26" s="137"/>
      <c r="I26" s="143"/>
    </row>
    <row r="27" spans="1:9">
      <c r="A27" s="21"/>
      <c r="B27" s="129" t="s">
        <v>74</v>
      </c>
      <c r="C27" s="129"/>
      <c r="D27" s="129"/>
      <c r="E27" s="129"/>
      <c r="F27" s="129" t="s">
        <v>74</v>
      </c>
      <c r="G27" s="129"/>
      <c r="H27" s="129"/>
      <c r="I27" s="144"/>
    </row>
    <row r="28" spans="1:9">
      <c r="A28" s="21"/>
      <c r="B28" s="129" t="s">
        <v>74</v>
      </c>
      <c r="C28" s="129"/>
      <c r="D28" s="129"/>
      <c r="E28" s="129"/>
      <c r="F28" s="129" t="s">
        <v>74</v>
      </c>
      <c r="G28" s="129"/>
      <c r="H28" s="129"/>
      <c r="I28" s="144"/>
    </row>
    <row r="29" spans="1:9">
      <c r="A29" s="22"/>
      <c r="B29" s="136" t="s">
        <v>74</v>
      </c>
      <c r="C29" s="136"/>
      <c r="D29" s="136"/>
      <c r="E29" s="136"/>
      <c r="F29" s="136" t="s">
        <v>74</v>
      </c>
      <c r="G29" s="136"/>
      <c r="H29" s="136"/>
      <c r="I29" s="145"/>
    </row>
    <row r="30" spans="1:9">
      <c r="A30" s="55" t="s">
        <v>80</v>
      </c>
      <c r="B30" s="137" t="s">
        <v>74</v>
      </c>
      <c r="C30" s="137"/>
      <c r="D30" s="137"/>
      <c r="E30" s="137"/>
      <c r="F30" s="137" t="s">
        <v>74</v>
      </c>
      <c r="G30" s="137"/>
      <c r="H30" s="137"/>
      <c r="I30" s="143"/>
    </row>
    <row r="31" spans="1:9">
      <c r="A31" s="21"/>
      <c r="B31" s="129" t="s">
        <v>74</v>
      </c>
      <c r="C31" s="129"/>
      <c r="D31" s="129"/>
      <c r="E31" s="129"/>
      <c r="F31" s="129" t="s">
        <v>74</v>
      </c>
      <c r="G31" s="129"/>
      <c r="H31" s="129"/>
      <c r="I31" s="144"/>
    </row>
    <row r="32" spans="1:9">
      <c r="A32" s="21"/>
      <c r="B32" s="129" t="s">
        <v>74</v>
      </c>
      <c r="C32" s="129"/>
      <c r="D32" s="129"/>
      <c r="E32" s="129"/>
      <c r="F32" s="129" t="s">
        <v>74</v>
      </c>
      <c r="G32" s="129"/>
      <c r="H32" s="129"/>
      <c r="I32" s="144"/>
    </row>
    <row r="33" spans="1:9">
      <c r="A33" s="22"/>
      <c r="B33" s="136" t="s">
        <v>74</v>
      </c>
      <c r="C33" s="136"/>
      <c r="D33" s="136"/>
      <c r="E33" s="136"/>
      <c r="F33" s="136" t="s">
        <v>74</v>
      </c>
      <c r="G33" s="136"/>
      <c r="H33" s="136"/>
      <c r="I33" s="145"/>
    </row>
    <row r="34" spans="1:9">
      <c r="A34" s="55" t="s">
        <v>81</v>
      </c>
      <c r="B34" s="137" t="s">
        <v>74</v>
      </c>
      <c r="C34" s="137"/>
      <c r="D34" s="137"/>
      <c r="E34" s="137"/>
      <c r="F34" s="137" t="s">
        <v>74</v>
      </c>
      <c r="G34" s="137"/>
      <c r="H34" s="137"/>
      <c r="I34" s="143"/>
    </row>
    <row r="35" spans="1:9">
      <c r="A35" s="21"/>
      <c r="B35" s="129" t="s">
        <v>74</v>
      </c>
      <c r="C35" s="129"/>
      <c r="D35" s="129"/>
      <c r="E35" s="129"/>
      <c r="F35" s="129" t="s">
        <v>74</v>
      </c>
      <c r="G35" s="129"/>
      <c r="H35" s="129"/>
      <c r="I35" s="144"/>
    </row>
    <row r="36" spans="1:9">
      <c r="A36" s="21"/>
      <c r="B36" s="129" t="s">
        <v>74</v>
      </c>
      <c r="C36" s="129"/>
      <c r="D36" s="129"/>
      <c r="E36" s="129"/>
      <c r="F36" s="129" t="s">
        <v>74</v>
      </c>
      <c r="G36" s="129"/>
      <c r="H36" s="129"/>
      <c r="I36" s="144"/>
    </row>
    <row r="37" spans="1:9">
      <c r="A37" s="21"/>
      <c r="B37" s="129" t="s">
        <v>74</v>
      </c>
      <c r="C37" s="129"/>
      <c r="D37" s="129"/>
      <c r="E37" s="129"/>
      <c r="F37" s="129" t="s">
        <v>74</v>
      </c>
      <c r="G37" s="129"/>
      <c r="H37" s="129"/>
      <c r="I37" s="144"/>
    </row>
    <row r="38" spans="1:9">
      <c r="A38" s="22"/>
      <c r="B38" s="136" t="s">
        <v>74</v>
      </c>
      <c r="C38" s="136"/>
      <c r="D38" s="136"/>
      <c r="E38" s="136"/>
      <c r="F38" s="136" t="s">
        <v>74</v>
      </c>
      <c r="G38" s="136"/>
      <c r="H38" s="136"/>
      <c r="I38" s="145"/>
    </row>
    <row r="39" spans="1:9">
      <c r="A39" s="55" t="s">
        <v>82</v>
      </c>
      <c r="B39" s="137" t="s">
        <v>74</v>
      </c>
      <c r="C39" s="137"/>
      <c r="D39" s="137"/>
      <c r="E39" s="137"/>
      <c r="F39" s="137" t="s">
        <v>74</v>
      </c>
      <c r="G39" s="137"/>
      <c r="H39" s="137"/>
      <c r="I39" s="143"/>
    </row>
    <row r="40" spans="1:9">
      <c r="A40" s="21"/>
      <c r="B40" s="129" t="s">
        <v>74</v>
      </c>
      <c r="C40" s="129"/>
      <c r="D40" s="129"/>
      <c r="E40" s="129"/>
      <c r="F40" s="129" t="s">
        <v>74</v>
      </c>
      <c r="G40" s="129"/>
      <c r="H40" s="129"/>
      <c r="I40" s="144"/>
    </row>
    <row r="41" spans="1:9">
      <c r="A41" s="21"/>
      <c r="B41" s="129" t="s">
        <v>74</v>
      </c>
      <c r="C41" s="129"/>
      <c r="D41" s="129"/>
      <c r="E41" s="129"/>
      <c r="F41" s="129" t="s">
        <v>74</v>
      </c>
      <c r="G41" s="129"/>
      <c r="H41" s="129"/>
      <c r="I41" s="144"/>
    </row>
    <row r="42" spans="1:9">
      <c r="A42" s="22"/>
      <c r="B42" s="136" t="s">
        <v>74</v>
      </c>
      <c r="C42" s="136"/>
      <c r="D42" s="136"/>
      <c r="E42" s="136"/>
      <c r="F42" s="136" t="s">
        <v>74</v>
      </c>
      <c r="G42" s="136"/>
      <c r="H42" s="136"/>
      <c r="I42" s="145"/>
    </row>
    <row r="43" spans="1:9">
      <c r="A43" s="55" t="s">
        <v>83</v>
      </c>
      <c r="B43" s="137" t="s">
        <v>74</v>
      </c>
      <c r="C43" s="137"/>
      <c r="D43" s="137"/>
      <c r="E43" s="137"/>
      <c r="F43" s="137" t="s">
        <v>74</v>
      </c>
      <c r="G43" s="137"/>
      <c r="H43" s="137"/>
      <c r="I43" s="143"/>
    </row>
    <row r="44" spans="1:9">
      <c r="A44" s="21"/>
      <c r="B44" s="129" t="s">
        <v>74</v>
      </c>
      <c r="C44" s="129"/>
      <c r="D44" s="129"/>
      <c r="E44" s="129"/>
      <c r="F44" s="129" t="s">
        <v>74</v>
      </c>
      <c r="G44" s="129"/>
      <c r="H44" s="129"/>
      <c r="I44" s="144"/>
    </row>
    <row r="45" spans="1:9">
      <c r="A45" s="21"/>
      <c r="B45" s="129" t="s">
        <v>74</v>
      </c>
      <c r="C45" s="129"/>
      <c r="D45" s="129"/>
      <c r="E45" s="129"/>
      <c r="F45" s="129" t="s">
        <v>74</v>
      </c>
      <c r="G45" s="129"/>
      <c r="H45" s="129"/>
      <c r="I45" s="144"/>
    </row>
    <row r="46" spans="1:9">
      <c r="A46" s="22"/>
      <c r="B46" s="136" t="s">
        <v>74</v>
      </c>
      <c r="C46" s="136"/>
      <c r="D46" s="136"/>
      <c r="E46" s="136"/>
      <c r="F46" s="136" t="s">
        <v>74</v>
      </c>
      <c r="G46" s="136"/>
      <c r="H46" s="136"/>
      <c r="I46" s="145"/>
    </row>
    <row r="47" spans="1:9">
      <c r="A47" s="55" t="s">
        <v>84</v>
      </c>
      <c r="B47" s="137" t="s">
        <v>74</v>
      </c>
      <c r="C47" s="137"/>
      <c r="D47" s="137"/>
      <c r="E47" s="137"/>
      <c r="F47" s="137" t="s">
        <v>74</v>
      </c>
      <c r="G47" s="137"/>
      <c r="H47" s="137"/>
      <c r="I47" s="143"/>
    </row>
    <row r="48" spans="1:9">
      <c r="A48" s="21"/>
      <c r="B48" s="129" t="s">
        <v>74</v>
      </c>
      <c r="C48" s="129"/>
      <c r="D48" s="129"/>
      <c r="E48" s="129"/>
      <c r="F48" s="129" t="s">
        <v>74</v>
      </c>
      <c r="G48" s="129"/>
      <c r="H48" s="129"/>
      <c r="I48" s="144"/>
    </row>
    <row r="49" spans="1:9">
      <c r="A49" s="21"/>
      <c r="B49" s="129" t="s">
        <v>74</v>
      </c>
      <c r="C49" s="129"/>
      <c r="D49" s="129"/>
      <c r="E49" s="129"/>
      <c r="F49" s="129" t="s">
        <v>74</v>
      </c>
      <c r="G49" s="129"/>
      <c r="H49" s="129"/>
      <c r="I49" s="144"/>
    </row>
    <row r="50" spans="1:9">
      <c r="A50" s="22"/>
      <c r="B50" s="136" t="s">
        <v>74</v>
      </c>
      <c r="C50" s="136"/>
      <c r="D50" s="136"/>
      <c r="E50" s="136"/>
      <c r="F50" s="136" t="s">
        <v>74</v>
      </c>
      <c r="G50" s="136"/>
      <c r="H50" s="136"/>
      <c r="I50" s="145"/>
    </row>
    <row r="51" spans="1:9">
      <c r="A51" s="55" t="s">
        <v>85</v>
      </c>
      <c r="B51" s="137" t="s">
        <v>74</v>
      </c>
      <c r="C51" s="137"/>
      <c r="D51" s="137"/>
      <c r="E51" s="137"/>
      <c r="F51" s="137" t="s">
        <v>74</v>
      </c>
      <c r="G51" s="137"/>
      <c r="H51" s="137"/>
      <c r="I51" s="143"/>
    </row>
    <row r="52" spans="1:9">
      <c r="A52" s="21"/>
      <c r="B52" s="129" t="s">
        <v>74</v>
      </c>
      <c r="C52" s="129"/>
      <c r="D52" s="129"/>
      <c r="E52" s="129"/>
      <c r="F52" s="129" t="s">
        <v>74</v>
      </c>
      <c r="G52" s="129"/>
      <c r="H52" s="129"/>
      <c r="I52" s="144"/>
    </row>
    <row r="53" spans="1:9">
      <c r="A53" s="21"/>
      <c r="B53" s="129" t="s">
        <v>74</v>
      </c>
      <c r="C53" s="129"/>
      <c r="D53" s="129"/>
      <c r="E53" s="129"/>
      <c r="F53" s="129" t="s">
        <v>74</v>
      </c>
      <c r="G53" s="129"/>
      <c r="H53" s="129"/>
      <c r="I53" s="144"/>
    </row>
    <row r="54" spans="1:9" ht="15" thickBot="1">
      <c r="A54" s="23"/>
      <c r="B54" s="146" t="s">
        <v>74</v>
      </c>
      <c r="C54" s="146"/>
      <c r="D54" s="146"/>
      <c r="E54" s="146"/>
      <c r="F54" s="146" t="s">
        <v>74</v>
      </c>
      <c r="G54" s="146"/>
      <c r="H54" s="146"/>
      <c r="I54" s="147"/>
    </row>
    <row r="55" spans="1:9" ht="15" thickBot="1">
      <c r="A55" s="151" t="s">
        <v>86</v>
      </c>
      <c r="B55" s="152"/>
      <c r="C55" s="152"/>
      <c r="D55" s="152"/>
      <c r="E55" s="152"/>
      <c r="F55" s="152"/>
      <c r="G55" s="153"/>
      <c r="H55" s="154" t="s">
        <v>87</v>
      </c>
      <c r="I55" s="155"/>
    </row>
  </sheetData>
  <mergeCells count="105">
    <mergeCell ref="F54:I54"/>
    <mergeCell ref="B2:I2"/>
    <mergeCell ref="A55:G55"/>
    <mergeCell ref="H55:I55"/>
    <mergeCell ref="F48:I48"/>
    <mergeCell ref="F49:I49"/>
    <mergeCell ref="F50:I50"/>
    <mergeCell ref="F51:I51"/>
    <mergeCell ref="F52:I52"/>
    <mergeCell ref="F53:I53"/>
    <mergeCell ref="F42:I42"/>
    <mergeCell ref="F43:I43"/>
    <mergeCell ref="F44:I44"/>
    <mergeCell ref="F45:I45"/>
    <mergeCell ref="F46:I46"/>
    <mergeCell ref="F47:I47"/>
    <mergeCell ref="F36:I36"/>
    <mergeCell ref="F37:I37"/>
    <mergeCell ref="F38:I38"/>
    <mergeCell ref="F39:I39"/>
    <mergeCell ref="F40:I40"/>
    <mergeCell ref="F41:I41"/>
    <mergeCell ref="F15:I15"/>
    <mergeCell ref="F16:I16"/>
    <mergeCell ref="F17:I17"/>
    <mergeCell ref="F30:I30"/>
    <mergeCell ref="F31:I31"/>
    <mergeCell ref="F32:I32"/>
    <mergeCell ref="F33:I33"/>
    <mergeCell ref="F34:I34"/>
    <mergeCell ref="F35:I35"/>
    <mergeCell ref="F24:I24"/>
    <mergeCell ref="F25:I25"/>
    <mergeCell ref="F26:I26"/>
    <mergeCell ref="F27:I27"/>
    <mergeCell ref="F28:I28"/>
    <mergeCell ref="F29:I29"/>
    <mergeCell ref="B21:E21"/>
    <mergeCell ref="B22:E22"/>
    <mergeCell ref="B23:E23"/>
    <mergeCell ref="F18:I18"/>
    <mergeCell ref="F19:I19"/>
    <mergeCell ref="F20:I20"/>
    <mergeCell ref="F21:I21"/>
    <mergeCell ref="F22:I22"/>
    <mergeCell ref="F23:I23"/>
    <mergeCell ref="B50:E50"/>
    <mergeCell ref="B36:E36"/>
    <mergeCell ref="B37:E37"/>
    <mergeCell ref="B38:E38"/>
    <mergeCell ref="B39:E39"/>
    <mergeCell ref="B40:E40"/>
    <mergeCell ref="B41:E41"/>
    <mergeCell ref="B30:E30"/>
    <mergeCell ref="B31:E31"/>
    <mergeCell ref="B32:E32"/>
    <mergeCell ref="B33:E33"/>
    <mergeCell ref="B34:E34"/>
    <mergeCell ref="B35:E35"/>
    <mergeCell ref="B54:E54"/>
    <mergeCell ref="B24:E24"/>
    <mergeCell ref="B25:E25"/>
    <mergeCell ref="B26:E26"/>
    <mergeCell ref="B27:E27"/>
    <mergeCell ref="B28:E28"/>
    <mergeCell ref="B29:E29"/>
    <mergeCell ref="B15:E15"/>
    <mergeCell ref="B16:E16"/>
    <mergeCell ref="B17:E17"/>
    <mergeCell ref="B18:E18"/>
    <mergeCell ref="B19:E19"/>
    <mergeCell ref="B20:E20"/>
    <mergeCell ref="B51:E51"/>
    <mergeCell ref="B52:E52"/>
    <mergeCell ref="B53:E53"/>
    <mergeCell ref="B42:E42"/>
    <mergeCell ref="B43:E43"/>
    <mergeCell ref="B44:E44"/>
    <mergeCell ref="B45:E45"/>
    <mergeCell ref="B46:E46"/>
    <mergeCell ref="B47:E47"/>
    <mergeCell ref="B48:E48"/>
    <mergeCell ref="B49:E49"/>
    <mergeCell ref="F3:I5"/>
    <mergeCell ref="B9:E9"/>
    <mergeCell ref="B10:E10"/>
    <mergeCell ref="B11:E11"/>
    <mergeCell ref="B12:E12"/>
    <mergeCell ref="B13:E13"/>
    <mergeCell ref="B14:E14"/>
    <mergeCell ref="B3:E3"/>
    <mergeCell ref="B4:E4"/>
    <mergeCell ref="B5:E5"/>
    <mergeCell ref="B6:E6"/>
    <mergeCell ref="B7:E7"/>
    <mergeCell ref="B8:E8"/>
    <mergeCell ref="F6:I6"/>
    <mergeCell ref="F7:I7"/>
    <mergeCell ref="F8:I8"/>
    <mergeCell ref="F9:I9"/>
    <mergeCell ref="F10:I10"/>
    <mergeCell ref="F11:I11"/>
    <mergeCell ref="F12:I12"/>
    <mergeCell ref="F13:I13"/>
    <mergeCell ref="F14:I14"/>
  </mergeCells>
  <phoneticPr fontId="1"/>
  <pageMargins left="0.7" right="0.7" top="0.75" bottom="0.75" header="0.3" footer="0.3"/>
  <pageSetup paperSize="9" scale="94"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6858-458F-48F7-B623-A12184207DF4}">
  <dimension ref="A1:K28"/>
  <sheetViews>
    <sheetView view="pageBreakPreview" zoomScale="115" zoomScaleNormal="115" zoomScaleSheetLayoutView="115" workbookViewId="0">
      <selection activeCell="F2" sqref="F2:J2"/>
    </sheetView>
  </sheetViews>
  <sheetFormatPr defaultColWidth="9" defaultRowHeight="13.9"/>
  <cols>
    <col min="1" max="1" width="1.75" style="4" customWidth="1"/>
    <col min="2" max="2" width="6.125" style="4" bestFit="1" customWidth="1"/>
    <col min="3" max="3" width="9.75" style="4" customWidth="1"/>
    <col min="4" max="6" width="9" style="4"/>
    <col min="7" max="7" width="10.75" style="4" customWidth="1"/>
    <col min="8" max="9" width="9" style="4"/>
    <col min="10" max="10" width="9" style="4" customWidth="1"/>
    <col min="11" max="11" width="2.125" style="4" customWidth="1"/>
    <col min="12" max="16384" width="9" style="4"/>
  </cols>
  <sheetData>
    <row r="1" spans="1:11" ht="18.600000000000001" thickBot="1">
      <c r="A1" s="51"/>
      <c r="B1" s="156" t="s">
        <v>88</v>
      </c>
      <c r="C1" s="156"/>
      <c r="D1" s="156"/>
      <c r="E1" s="156"/>
      <c r="F1" s="156"/>
      <c r="G1" s="156"/>
      <c r="H1" s="156"/>
      <c r="I1" s="156"/>
      <c r="J1" s="156"/>
      <c r="K1" s="157"/>
    </row>
    <row r="2" spans="1:11" ht="18.600000000000001" customHeight="1" thickBot="1">
      <c r="A2" s="32"/>
      <c r="B2" s="139" t="s">
        <v>89</v>
      </c>
      <c r="C2" s="139"/>
      <c r="D2" s="139"/>
      <c r="E2" s="139"/>
      <c r="F2" s="159"/>
      <c r="G2" s="160"/>
      <c r="H2" s="160"/>
      <c r="I2" s="160"/>
      <c r="J2" s="161"/>
      <c r="K2" s="49"/>
    </row>
    <row r="3" spans="1:11" ht="17.649999999999999" customHeight="1">
      <c r="A3" s="25"/>
      <c r="B3" s="165" t="s">
        <v>90</v>
      </c>
      <c r="C3" s="166"/>
      <c r="D3" s="166"/>
      <c r="E3" s="166"/>
      <c r="F3" s="166"/>
      <c r="G3" s="166"/>
      <c r="H3" s="166"/>
      <c r="I3" s="166"/>
      <c r="J3" s="167"/>
      <c r="K3" s="24"/>
    </row>
    <row r="4" spans="1:11" ht="20.100000000000001" customHeight="1">
      <c r="A4" s="25"/>
      <c r="C4" s="56" t="s">
        <v>91</v>
      </c>
      <c r="D4" s="172" t="s">
        <v>92</v>
      </c>
      <c r="E4" s="172"/>
      <c r="F4" s="172"/>
      <c r="G4" s="79" t="s">
        <v>93</v>
      </c>
      <c r="H4" s="172" t="s">
        <v>94</v>
      </c>
      <c r="I4" s="172"/>
      <c r="J4" s="172"/>
      <c r="K4" s="26"/>
    </row>
    <row r="5" spans="1:11" ht="30" customHeight="1" thickBot="1">
      <c r="A5" s="25"/>
      <c r="B5" s="29" t="s">
        <v>95</v>
      </c>
      <c r="C5" s="48">
        <v>10</v>
      </c>
      <c r="D5" s="173" t="s">
        <v>96</v>
      </c>
      <c r="E5" s="173"/>
      <c r="F5" s="173"/>
      <c r="G5" s="46">
        <v>160000</v>
      </c>
      <c r="H5" s="174" t="s">
        <v>97</v>
      </c>
      <c r="I5" s="173"/>
      <c r="J5" s="173"/>
      <c r="K5" s="78"/>
    </row>
    <row r="6" spans="1:11" ht="30" customHeight="1">
      <c r="A6" s="25"/>
      <c r="B6" s="30"/>
      <c r="C6" s="47"/>
      <c r="D6" s="166"/>
      <c r="E6" s="166"/>
      <c r="F6" s="166"/>
      <c r="G6" s="27"/>
      <c r="H6" s="166"/>
      <c r="I6" s="166"/>
      <c r="J6" s="166"/>
      <c r="K6" s="78"/>
    </row>
    <row r="7" spans="1:11" ht="30" customHeight="1">
      <c r="A7" s="25"/>
      <c r="B7" s="30"/>
      <c r="C7" s="57"/>
      <c r="D7" s="158"/>
      <c r="E7" s="158"/>
      <c r="F7" s="158"/>
      <c r="G7" s="58"/>
      <c r="H7" s="158"/>
      <c r="I7" s="158"/>
      <c r="J7" s="158"/>
      <c r="K7" s="78"/>
    </row>
    <row r="8" spans="1:11" ht="30" customHeight="1">
      <c r="A8" s="25"/>
      <c r="B8" s="30"/>
      <c r="C8" s="57"/>
      <c r="D8" s="158"/>
      <c r="E8" s="158"/>
      <c r="F8" s="158"/>
      <c r="G8" s="58"/>
      <c r="H8" s="158"/>
      <c r="I8" s="158"/>
      <c r="J8" s="158"/>
      <c r="K8" s="78"/>
    </row>
    <row r="9" spans="1:11" ht="30" customHeight="1">
      <c r="A9" s="25"/>
      <c r="B9" s="30"/>
      <c r="C9" s="57"/>
      <c r="D9" s="158"/>
      <c r="E9" s="158"/>
      <c r="F9" s="158"/>
      <c r="G9" s="58"/>
      <c r="H9" s="158"/>
      <c r="I9" s="158"/>
      <c r="J9" s="158"/>
      <c r="K9" s="78"/>
    </row>
    <row r="10" spans="1:11" ht="30" customHeight="1">
      <c r="A10" s="25"/>
      <c r="B10" s="30"/>
      <c r="C10" s="57"/>
      <c r="D10" s="158"/>
      <c r="E10" s="158"/>
      <c r="F10" s="158"/>
      <c r="G10" s="58"/>
      <c r="H10" s="158"/>
      <c r="I10" s="158"/>
      <c r="J10" s="158"/>
      <c r="K10" s="78"/>
    </row>
    <row r="11" spans="1:11" ht="30" customHeight="1">
      <c r="A11" s="25"/>
      <c r="B11" s="30"/>
      <c r="C11" s="57"/>
      <c r="D11" s="158"/>
      <c r="E11" s="158"/>
      <c r="F11" s="158"/>
      <c r="G11" s="58"/>
      <c r="H11" s="158"/>
      <c r="I11" s="158"/>
      <c r="J11" s="158"/>
      <c r="K11" s="78"/>
    </row>
    <row r="12" spans="1:11" ht="30" customHeight="1">
      <c r="A12" s="25"/>
      <c r="B12" s="30"/>
      <c r="C12" s="57"/>
      <c r="D12" s="158"/>
      <c r="E12" s="158"/>
      <c r="F12" s="158"/>
      <c r="G12" s="58"/>
      <c r="H12" s="158"/>
      <c r="I12" s="158"/>
      <c r="J12" s="158"/>
      <c r="K12" s="78"/>
    </row>
    <row r="13" spans="1:11" ht="30" customHeight="1">
      <c r="A13" s="25"/>
      <c r="B13" s="30"/>
      <c r="C13" s="57"/>
      <c r="D13" s="158"/>
      <c r="E13" s="158"/>
      <c r="F13" s="158"/>
      <c r="G13" s="58"/>
      <c r="H13" s="158"/>
      <c r="I13" s="158"/>
      <c r="J13" s="158"/>
      <c r="K13" s="78"/>
    </row>
    <row r="14" spans="1:11" ht="30" customHeight="1">
      <c r="A14" s="25"/>
      <c r="B14" s="30"/>
      <c r="C14" s="57"/>
      <c r="D14" s="158"/>
      <c r="E14" s="158"/>
      <c r="F14" s="158"/>
      <c r="G14" s="58"/>
      <c r="H14" s="158"/>
      <c r="I14" s="158"/>
      <c r="J14" s="158"/>
      <c r="K14" s="78"/>
    </row>
    <row r="15" spans="1:11" ht="30" customHeight="1">
      <c r="A15" s="25"/>
      <c r="B15" s="30"/>
      <c r="C15" s="57"/>
      <c r="D15" s="158"/>
      <c r="E15" s="158"/>
      <c r="F15" s="158"/>
      <c r="G15" s="58"/>
      <c r="H15" s="158"/>
      <c r="I15" s="158"/>
      <c r="J15" s="158"/>
      <c r="K15" s="78"/>
    </row>
    <row r="16" spans="1:11" ht="30" customHeight="1">
      <c r="A16" s="25"/>
      <c r="B16" s="30"/>
      <c r="C16" s="57"/>
      <c r="D16" s="158"/>
      <c r="E16" s="158"/>
      <c r="F16" s="158"/>
      <c r="G16" s="58"/>
      <c r="H16" s="158"/>
      <c r="I16" s="158"/>
      <c r="J16" s="158"/>
      <c r="K16" s="78"/>
    </row>
    <row r="17" spans="1:11" ht="30" customHeight="1">
      <c r="A17" s="25"/>
      <c r="B17" s="30"/>
      <c r="C17" s="57"/>
      <c r="D17" s="158"/>
      <c r="E17" s="158"/>
      <c r="F17" s="158"/>
      <c r="G17" s="58"/>
      <c r="H17" s="158"/>
      <c r="I17" s="158"/>
      <c r="J17" s="158"/>
      <c r="K17" s="78"/>
    </row>
    <row r="18" spans="1:11" ht="30" customHeight="1">
      <c r="A18" s="25"/>
      <c r="B18" s="30"/>
      <c r="C18" s="57"/>
      <c r="D18" s="158"/>
      <c r="E18" s="158"/>
      <c r="F18" s="158"/>
      <c r="G18" s="58"/>
      <c r="H18" s="158"/>
      <c r="I18" s="158"/>
      <c r="J18" s="158"/>
      <c r="K18" s="78"/>
    </row>
    <row r="19" spans="1:11" ht="30" customHeight="1">
      <c r="A19" s="25"/>
      <c r="B19" s="30"/>
      <c r="C19" s="57"/>
      <c r="D19" s="158"/>
      <c r="E19" s="158"/>
      <c r="F19" s="158"/>
      <c r="G19" s="58"/>
      <c r="H19" s="158"/>
      <c r="I19" s="158"/>
      <c r="J19" s="158"/>
      <c r="K19" s="78"/>
    </row>
    <row r="20" spans="1:11" ht="30" customHeight="1">
      <c r="A20" s="25"/>
      <c r="B20" s="30"/>
      <c r="C20" s="57"/>
      <c r="D20" s="158"/>
      <c r="E20" s="158"/>
      <c r="F20" s="158"/>
      <c r="G20" s="58"/>
      <c r="H20" s="158"/>
      <c r="I20" s="158"/>
      <c r="J20" s="158"/>
      <c r="K20" s="78"/>
    </row>
    <row r="21" spans="1:11" ht="30" customHeight="1">
      <c r="A21" s="25"/>
      <c r="B21" s="30"/>
      <c r="C21" s="57"/>
      <c r="D21" s="158"/>
      <c r="E21" s="158"/>
      <c r="F21" s="158"/>
      <c r="G21" s="58"/>
      <c r="H21" s="158"/>
      <c r="I21" s="158"/>
      <c r="J21" s="158"/>
      <c r="K21" s="78"/>
    </row>
    <row r="22" spans="1:11" ht="30" customHeight="1">
      <c r="A22" s="25"/>
      <c r="B22" s="30"/>
      <c r="C22" s="57"/>
      <c r="D22" s="158"/>
      <c r="E22" s="158"/>
      <c r="F22" s="158"/>
      <c r="G22" s="58"/>
      <c r="H22" s="158"/>
      <c r="I22" s="158"/>
      <c r="J22" s="158"/>
      <c r="K22" s="78"/>
    </row>
    <row r="23" spans="1:11" ht="30" customHeight="1">
      <c r="A23" s="25"/>
      <c r="B23" s="30"/>
      <c r="C23" s="57"/>
      <c r="D23" s="158"/>
      <c r="E23" s="158"/>
      <c r="F23" s="158"/>
      <c r="G23" s="58"/>
      <c r="H23" s="158"/>
      <c r="I23" s="158"/>
      <c r="J23" s="158"/>
      <c r="K23" s="78"/>
    </row>
    <row r="24" spans="1:11" ht="30" customHeight="1">
      <c r="A24" s="25"/>
      <c r="B24" s="30"/>
      <c r="C24" s="57"/>
      <c r="D24" s="158"/>
      <c r="E24" s="158"/>
      <c r="F24" s="158"/>
      <c r="G24" s="58"/>
      <c r="H24" s="158"/>
      <c r="I24" s="158"/>
      <c r="J24" s="158"/>
      <c r="K24" s="78"/>
    </row>
    <row r="25" spans="1:11" ht="30" customHeight="1" thickBot="1">
      <c r="A25" s="25"/>
      <c r="B25" s="30"/>
      <c r="C25" s="57"/>
      <c r="D25" s="158"/>
      <c r="E25" s="158"/>
      <c r="F25" s="171"/>
      <c r="G25" s="59"/>
      <c r="H25" s="171"/>
      <c r="I25" s="171"/>
      <c r="J25" s="171"/>
      <c r="K25" s="78"/>
    </row>
    <row r="26" spans="1:11" ht="23.65" customHeight="1" thickBot="1">
      <c r="A26" s="28"/>
      <c r="B26" s="168" t="s">
        <v>98</v>
      </c>
      <c r="C26" s="169"/>
      <c r="D26" s="169"/>
      <c r="E26" s="170"/>
      <c r="F26" s="162"/>
      <c r="G26" s="163"/>
      <c r="H26" s="163"/>
      <c r="I26" s="163"/>
      <c r="J26" s="164"/>
      <c r="K26" s="50"/>
    </row>
    <row r="27" spans="1:11">
      <c r="B27" s="30"/>
      <c r="C27" s="76"/>
      <c r="D27" s="76"/>
      <c r="E27" s="76"/>
      <c r="F27" s="76"/>
      <c r="G27" s="76"/>
      <c r="H27" s="76"/>
      <c r="I27" s="76"/>
      <c r="J27" s="76"/>
      <c r="K27" s="76"/>
    </row>
    <row r="28" spans="1:11">
      <c r="B28" s="30"/>
      <c r="C28" s="76"/>
      <c r="D28" s="76"/>
      <c r="E28" s="76"/>
      <c r="F28" s="76"/>
      <c r="G28" s="76"/>
      <c r="H28" s="76"/>
      <c r="I28" s="76"/>
      <c r="J28" s="76"/>
      <c r="K28" s="76"/>
    </row>
  </sheetData>
  <dataConsolidate/>
  <mergeCells count="50">
    <mergeCell ref="D4:F4"/>
    <mergeCell ref="H4:J4"/>
    <mergeCell ref="D5:F5"/>
    <mergeCell ref="D6:F6"/>
    <mergeCell ref="B2:E2"/>
    <mergeCell ref="H5:J5"/>
    <mergeCell ref="H6:J6"/>
    <mergeCell ref="B26:E26"/>
    <mergeCell ref="D20:F20"/>
    <mergeCell ref="H20:J20"/>
    <mergeCell ref="D18:F18"/>
    <mergeCell ref="D19:F19"/>
    <mergeCell ref="D24:F24"/>
    <mergeCell ref="D25:F25"/>
    <mergeCell ref="D21:F21"/>
    <mergeCell ref="D22:F22"/>
    <mergeCell ref="D23:F23"/>
    <mergeCell ref="H22:J22"/>
    <mergeCell ref="H23:J23"/>
    <mergeCell ref="H24:J24"/>
    <mergeCell ref="H25:J25"/>
    <mergeCell ref="H21:J21"/>
    <mergeCell ref="H18:J18"/>
    <mergeCell ref="D7:F7"/>
    <mergeCell ref="D14:F14"/>
    <mergeCell ref="D15:F15"/>
    <mergeCell ref="D10:F10"/>
    <mergeCell ref="H13:J13"/>
    <mergeCell ref="H7:J7"/>
    <mergeCell ref="H14:J14"/>
    <mergeCell ref="H15:J15"/>
    <mergeCell ref="H9:J9"/>
    <mergeCell ref="H10:J10"/>
    <mergeCell ref="D13:F13"/>
    <mergeCell ref="B1:K1"/>
    <mergeCell ref="H19:J19"/>
    <mergeCell ref="F2:J2"/>
    <mergeCell ref="F26:J26"/>
    <mergeCell ref="B3:J3"/>
    <mergeCell ref="D8:F8"/>
    <mergeCell ref="H8:J8"/>
    <mergeCell ref="D9:F9"/>
    <mergeCell ref="D16:F16"/>
    <mergeCell ref="H16:J16"/>
    <mergeCell ref="D17:F17"/>
    <mergeCell ref="H17:J17"/>
    <mergeCell ref="D11:F11"/>
    <mergeCell ref="H11:J11"/>
    <mergeCell ref="D12:F12"/>
    <mergeCell ref="H12:J12"/>
  </mergeCells>
  <phoneticPr fontId="1"/>
  <pageMargins left="0.7" right="0.7" top="0.75" bottom="0.75" header="0.3" footer="0.3"/>
  <pageSetup paperSize="9" scale="94"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582CCA83-D3E0-4EF9-87C8-B2BEE5FBBA1B}">
          <x14:formula1>
            <xm:f>リスト!$F$2:$F$5</xm:f>
          </x14:formula1>
          <xm:sqref>F2:J2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C7BFB-096B-4901-910C-CAC5EDEB2F41}">
  <dimension ref="A1:H41"/>
  <sheetViews>
    <sheetView view="pageBreakPreview" zoomScaleNormal="100" zoomScaleSheetLayoutView="100" workbookViewId="0">
      <selection activeCell="L3" sqref="L3"/>
    </sheetView>
  </sheetViews>
  <sheetFormatPr defaultColWidth="9" defaultRowHeight="13.9"/>
  <cols>
    <col min="1" max="8" width="10" style="4" customWidth="1"/>
    <col min="9" max="16384" width="9" style="4"/>
  </cols>
  <sheetData>
    <row r="1" spans="1:8" ht="21.6" thickBot="1">
      <c r="A1" s="69" t="s">
        <v>99</v>
      </c>
      <c r="B1" s="7"/>
      <c r="C1" s="7"/>
      <c r="D1" s="7"/>
      <c r="E1" s="7"/>
      <c r="F1" s="7"/>
      <c r="G1" s="7"/>
      <c r="H1" s="7"/>
    </row>
    <row r="2" spans="1:8" ht="18.75" customHeight="1">
      <c r="G2" s="116" t="s">
        <v>3</v>
      </c>
      <c r="H2" s="117"/>
    </row>
    <row r="3" spans="1:8" ht="18.75" customHeight="1" thickBot="1">
      <c r="G3" s="118"/>
      <c r="H3" s="119"/>
    </row>
    <row r="4" spans="1:8" ht="9.75" customHeight="1" thickBot="1">
      <c r="G4" s="120" t="s">
        <v>4</v>
      </c>
      <c r="H4" s="120"/>
    </row>
    <row r="5" spans="1:8" ht="18.75" customHeight="1" thickBot="1">
      <c r="A5" s="77" t="s">
        <v>5</v>
      </c>
      <c r="B5" s="202" t="str">
        <f>VLOOKUP(IF(G3&lt;&gt;"",G3,"XXX"),リスト!A2:B488,2,FALSE)&amp;""</f>
        <v>分類番号を選択してください。</v>
      </c>
      <c r="C5" s="122"/>
      <c r="D5" s="122"/>
      <c r="E5" s="88"/>
      <c r="F5" s="88"/>
      <c r="G5" s="203"/>
      <c r="H5" s="76"/>
    </row>
    <row r="6" spans="1:8" ht="9" customHeight="1" thickBot="1"/>
    <row r="7" spans="1:8" ht="18.75" customHeight="1" thickBot="1">
      <c r="A7" s="32"/>
      <c r="B7" s="33"/>
      <c r="C7" s="196" t="s">
        <v>100</v>
      </c>
      <c r="D7" s="196"/>
      <c r="E7" s="196"/>
      <c r="F7" s="197"/>
      <c r="G7" s="198"/>
      <c r="H7" s="34"/>
    </row>
    <row r="8" spans="1:8" ht="6" customHeight="1">
      <c r="A8" s="25"/>
      <c r="B8" s="62"/>
      <c r="C8" s="62"/>
      <c r="D8" s="62"/>
      <c r="E8" s="62"/>
      <c r="F8" s="62"/>
      <c r="G8" s="62"/>
      <c r="H8" s="35"/>
    </row>
    <row r="9" spans="1:8" ht="18.75" customHeight="1">
      <c r="A9" s="36" t="s">
        <v>101</v>
      </c>
      <c r="B9" s="37"/>
      <c r="C9" s="38"/>
      <c r="D9" s="37"/>
      <c r="E9" s="38"/>
      <c r="F9" s="37"/>
      <c r="G9" s="38"/>
      <c r="H9" s="39"/>
    </row>
    <row r="10" spans="1:8" ht="5.25" customHeight="1">
      <c r="A10" s="40"/>
      <c r="B10" s="63"/>
      <c r="C10" s="63"/>
      <c r="D10" s="63"/>
      <c r="E10" s="63"/>
      <c r="F10" s="63"/>
      <c r="G10" s="63"/>
      <c r="H10" s="39"/>
    </row>
    <row r="11" spans="1:8" ht="18.75" customHeight="1">
      <c r="A11" s="187" t="s">
        <v>102</v>
      </c>
      <c r="B11" s="188"/>
      <c r="C11" s="188"/>
      <c r="D11" s="188"/>
      <c r="E11" s="188"/>
      <c r="F11" s="188"/>
      <c r="G11" s="188"/>
      <c r="H11" s="189"/>
    </row>
    <row r="12" spans="1:8" ht="36" customHeight="1">
      <c r="A12" s="71"/>
      <c r="B12" s="199" t="s">
        <v>103</v>
      </c>
      <c r="C12" s="200"/>
      <c r="D12" s="200"/>
      <c r="E12" s="200"/>
      <c r="F12" s="200"/>
      <c r="G12" s="200"/>
      <c r="H12" s="201"/>
    </row>
    <row r="13" spans="1:8" ht="31.15" customHeight="1">
      <c r="A13" s="70"/>
      <c r="B13" s="199" t="s">
        <v>104</v>
      </c>
      <c r="C13" s="200"/>
      <c r="D13" s="200"/>
      <c r="E13" s="200"/>
      <c r="F13" s="200"/>
      <c r="G13" s="200"/>
      <c r="H13" s="201"/>
    </row>
    <row r="14" spans="1:8" ht="4.5" customHeight="1">
      <c r="A14" s="41"/>
      <c r="B14" s="64"/>
      <c r="C14" s="65"/>
      <c r="D14" s="65"/>
      <c r="E14" s="62"/>
      <c r="F14" s="62"/>
      <c r="G14" s="65"/>
      <c r="H14" s="42"/>
    </row>
    <row r="15" spans="1:8" ht="18.75" customHeight="1">
      <c r="A15" s="190" t="s">
        <v>105</v>
      </c>
      <c r="B15" s="191"/>
      <c r="C15" s="191"/>
      <c r="D15" s="191"/>
      <c r="E15" s="191"/>
      <c r="F15" s="191"/>
      <c r="G15" s="191"/>
      <c r="H15" s="192"/>
    </row>
    <row r="16" spans="1:8" ht="18.75" customHeight="1">
      <c r="A16" s="43" t="s">
        <v>106</v>
      </c>
      <c r="B16" s="63"/>
      <c r="C16" s="66"/>
      <c r="D16" s="66"/>
      <c r="E16" s="63"/>
      <c r="F16" s="63"/>
      <c r="G16" s="66"/>
      <c r="H16" s="44"/>
    </row>
    <row r="17" spans="1:8" ht="18.75" customHeight="1">
      <c r="A17" s="43" t="s">
        <v>107</v>
      </c>
      <c r="B17" s="63"/>
      <c r="C17" s="66"/>
      <c r="D17" s="66"/>
      <c r="E17" s="63"/>
      <c r="F17" s="63"/>
      <c r="G17" s="66"/>
      <c r="H17" s="44"/>
    </row>
    <row r="18" spans="1:8" ht="3" customHeight="1">
      <c r="A18" s="43"/>
      <c r="B18" s="63"/>
      <c r="C18" s="66"/>
      <c r="D18" s="66"/>
      <c r="E18" s="63"/>
      <c r="F18" s="63"/>
      <c r="G18" s="66"/>
      <c r="H18" s="44"/>
    </row>
    <row r="19" spans="1:8" ht="18.75" customHeight="1">
      <c r="A19" s="193" t="s">
        <v>108</v>
      </c>
      <c r="B19" s="194"/>
      <c r="C19" s="194"/>
      <c r="D19" s="194"/>
      <c r="E19" s="194"/>
      <c r="F19" s="194"/>
      <c r="G19" s="194"/>
      <c r="H19" s="195"/>
    </row>
    <row r="20" spans="1:8" ht="28.5" customHeight="1">
      <c r="A20" s="193"/>
      <c r="B20" s="194"/>
      <c r="C20" s="194"/>
      <c r="D20" s="194"/>
      <c r="E20" s="194"/>
      <c r="F20" s="194"/>
      <c r="G20" s="194"/>
      <c r="H20" s="195"/>
    </row>
    <row r="21" spans="1:8" ht="12" customHeight="1">
      <c r="A21" s="80"/>
      <c r="B21" s="81"/>
      <c r="C21" s="81"/>
      <c r="D21" s="81"/>
      <c r="E21" s="81"/>
      <c r="F21" s="81"/>
      <c r="G21" s="81"/>
      <c r="H21" s="82"/>
    </row>
    <row r="22" spans="1:8" ht="18.75" customHeight="1">
      <c r="A22" s="80"/>
      <c r="B22" s="175" t="s">
        <v>109</v>
      </c>
      <c r="C22" s="176"/>
      <c r="D22" s="176"/>
      <c r="E22" s="176"/>
      <c r="F22" s="176"/>
      <c r="G22" s="177"/>
      <c r="H22" s="45"/>
    </row>
    <row r="23" spans="1:8" ht="18.75" customHeight="1">
      <c r="A23" s="25"/>
      <c r="B23" s="178"/>
      <c r="C23" s="179"/>
      <c r="D23" s="179"/>
      <c r="E23" s="179"/>
      <c r="F23" s="179"/>
      <c r="G23" s="180"/>
      <c r="H23" s="45"/>
    </row>
    <row r="24" spans="1:8" ht="18.75" customHeight="1">
      <c r="A24" s="25"/>
      <c r="B24" s="178"/>
      <c r="C24" s="179"/>
      <c r="D24" s="179"/>
      <c r="E24" s="179"/>
      <c r="F24" s="179"/>
      <c r="G24" s="180"/>
      <c r="H24" s="45"/>
    </row>
    <row r="25" spans="1:8" ht="18.75" customHeight="1">
      <c r="A25" s="25"/>
      <c r="B25" s="178"/>
      <c r="C25" s="179"/>
      <c r="D25" s="179"/>
      <c r="E25" s="179"/>
      <c r="F25" s="179"/>
      <c r="G25" s="180"/>
      <c r="H25" s="45"/>
    </row>
    <row r="26" spans="1:8" ht="18.75" customHeight="1">
      <c r="A26" s="25"/>
      <c r="B26" s="178"/>
      <c r="C26" s="179"/>
      <c r="D26" s="179"/>
      <c r="E26" s="179"/>
      <c r="F26" s="179"/>
      <c r="G26" s="180"/>
      <c r="H26" s="45"/>
    </row>
    <row r="27" spans="1:8" ht="18.75" customHeight="1">
      <c r="A27" s="25"/>
      <c r="B27" s="178"/>
      <c r="C27" s="179"/>
      <c r="D27" s="179"/>
      <c r="E27" s="179"/>
      <c r="F27" s="179"/>
      <c r="G27" s="180"/>
      <c r="H27" s="45"/>
    </row>
    <row r="28" spans="1:8" ht="18.75" customHeight="1">
      <c r="A28" s="25"/>
      <c r="B28" s="178"/>
      <c r="C28" s="179"/>
      <c r="D28" s="179"/>
      <c r="E28" s="179"/>
      <c r="F28" s="179"/>
      <c r="G28" s="180"/>
      <c r="H28" s="45"/>
    </row>
    <row r="29" spans="1:8" ht="18.75" customHeight="1">
      <c r="A29" s="25"/>
      <c r="B29" s="178"/>
      <c r="C29" s="179"/>
      <c r="D29" s="179"/>
      <c r="E29" s="179"/>
      <c r="F29" s="179"/>
      <c r="G29" s="180"/>
      <c r="H29" s="45"/>
    </row>
    <row r="30" spans="1:8" ht="18.75" customHeight="1">
      <c r="A30" s="25"/>
      <c r="B30" s="178"/>
      <c r="C30" s="179"/>
      <c r="D30" s="179"/>
      <c r="E30" s="179"/>
      <c r="F30" s="179"/>
      <c r="G30" s="180"/>
      <c r="H30" s="45"/>
    </row>
    <row r="31" spans="1:8" ht="18.75" customHeight="1">
      <c r="A31" s="25"/>
      <c r="B31" s="178"/>
      <c r="C31" s="179"/>
      <c r="D31" s="179"/>
      <c r="E31" s="179"/>
      <c r="F31" s="179"/>
      <c r="G31" s="180"/>
      <c r="H31" s="45"/>
    </row>
    <row r="32" spans="1:8" ht="18.75" customHeight="1">
      <c r="A32" s="25"/>
      <c r="B32" s="178"/>
      <c r="C32" s="179"/>
      <c r="D32" s="179"/>
      <c r="E32" s="179"/>
      <c r="F32" s="179"/>
      <c r="G32" s="180"/>
      <c r="H32" s="45"/>
    </row>
    <row r="33" spans="1:8" ht="18.75" customHeight="1">
      <c r="A33" s="25"/>
      <c r="B33" s="178"/>
      <c r="C33" s="179"/>
      <c r="D33" s="179"/>
      <c r="E33" s="179"/>
      <c r="F33" s="179"/>
      <c r="G33" s="180"/>
      <c r="H33" s="45"/>
    </row>
    <row r="34" spans="1:8" ht="18.75" customHeight="1">
      <c r="A34" s="25"/>
      <c r="B34" s="178"/>
      <c r="C34" s="179"/>
      <c r="D34" s="179"/>
      <c r="E34" s="179"/>
      <c r="F34" s="179"/>
      <c r="G34" s="180"/>
      <c r="H34" s="45"/>
    </row>
    <row r="35" spans="1:8" ht="15" customHeight="1">
      <c r="A35" s="25"/>
      <c r="B35" s="178"/>
      <c r="C35" s="179"/>
      <c r="D35" s="179"/>
      <c r="E35" s="179"/>
      <c r="F35" s="179"/>
      <c r="G35" s="180"/>
      <c r="H35" s="45"/>
    </row>
    <row r="36" spans="1:8" ht="16.899999999999999" customHeight="1">
      <c r="A36" s="25"/>
      <c r="B36" s="181"/>
      <c r="C36" s="182"/>
      <c r="D36" s="182"/>
      <c r="E36" s="182"/>
      <c r="F36" s="182"/>
      <c r="G36" s="183"/>
      <c r="H36" s="45"/>
    </row>
    <row r="37" spans="1:8" ht="17.649999999999999" customHeight="1">
      <c r="A37" s="25"/>
      <c r="B37" s="62"/>
      <c r="C37" s="67"/>
      <c r="D37" s="67"/>
      <c r="E37" s="62"/>
      <c r="F37" s="62"/>
      <c r="G37" s="67"/>
      <c r="H37" s="45"/>
    </row>
    <row r="38" spans="1:8" ht="67.150000000000006" customHeight="1" thickBot="1">
      <c r="A38" s="184" t="s">
        <v>110</v>
      </c>
      <c r="B38" s="185"/>
      <c r="C38" s="185"/>
      <c r="D38" s="185"/>
      <c r="E38" s="185"/>
      <c r="F38" s="185"/>
      <c r="G38" s="185"/>
      <c r="H38" s="186"/>
    </row>
    <row r="40" spans="1:8">
      <c r="A40" s="60"/>
      <c r="B40" s="60"/>
      <c r="C40" s="60"/>
      <c r="D40" s="60"/>
      <c r="E40" s="60"/>
      <c r="F40" s="60"/>
      <c r="G40" s="60"/>
      <c r="H40" s="60"/>
    </row>
    <row r="41" spans="1:8" ht="30.75" customHeight="1">
      <c r="A41" s="60"/>
      <c r="B41" s="60"/>
      <c r="C41" s="60"/>
      <c r="D41" s="60"/>
      <c r="E41" s="60"/>
      <c r="F41" s="60"/>
      <c r="G41" s="60"/>
      <c r="H41" s="60"/>
    </row>
  </sheetData>
  <mergeCells count="14">
    <mergeCell ref="C7:E7"/>
    <mergeCell ref="F7:G7"/>
    <mergeCell ref="B12:H12"/>
    <mergeCell ref="B13:H13"/>
    <mergeCell ref="G2:H2"/>
    <mergeCell ref="G3:H3"/>
    <mergeCell ref="G4:H4"/>
    <mergeCell ref="B5:D5"/>
    <mergeCell ref="E5:G5"/>
    <mergeCell ref="B22:G36"/>
    <mergeCell ref="A38:H38"/>
    <mergeCell ref="A11:H11"/>
    <mergeCell ref="A15:H15"/>
    <mergeCell ref="A19:H20"/>
  </mergeCells>
  <phoneticPr fontId="1"/>
  <conditionalFormatting sqref="B5:D5">
    <cfRule type="cellIs" dxfId="5" priority="1" operator="equal">
      <formula>G3=""</formula>
    </cfRule>
  </conditionalFormatting>
  <conditionalFormatting sqref="E5">
    <cfRule type="expression" dxfId="4" priority="6">
      <formula>IF(AND(G3="未公認",E5=""),TRUE,FALSE)</formula>
    </cfRule>
  </conditionalFormatting>
  <conditionalFormatting sqref="F5">
    <cfRule type="expression" dxfId="3" priority="3">
      <formula>IF(AND(I3="未公認",F5=""),TRUE,FALSE)</formula>
    </cfRule>
  </conditionalFormatting>
  <conditionalFormatting sqref="G3">
    <cfRule type="cellIs" dxfId="2" priority="4" operator="equal">
      <formula>E5&lt;&gt;""</formula>
    </cfRule>
    <cfRule type="cellIs" dxfId="1" priority="5" operator="equal">
      <formula>""</formula>
    </cfRule>
  </conditionalFormatting>
  <conditionalFormatting sqref="G3:H3">
    <cfRule type="cellIs" dxfId="0" priority="2" operator="equal">
      <formula>""</formula>
    </cfRule>
  </conditionalFormatting>
  <pageMargins left="0.7" right="0.7" top="0.75" bottom="0.75" header="0.3" footer="0.3"/>
  <pageSetup paperSize="9" orientation="portrait"/>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from>
                    <xdr:col>0</xdr:col>
                    <xdr:colOff>281940</xdr:colOff>
                    <xdr:row>11</xdr:row>
                    <xdr:rowOff>99060</xdr:rowOff>
                  </from>
                  <to>
                    <xdr:col>1</xdr:col>
                    <xdr:colOff>137160</xdr:colOff>
                    <xdr:row>11</xdr:row>
                    <xdr:rowOff>335280</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from>
                    <xdr:col>0</xdr:col>
                    <xdr:colOff>281940</xdr:colOff>
                    <xdr:row>12</xdr:row>
                    <xdr:rowOff>76200</xdr:rowOff>
                  </from>
                  <to>
                    <xdr:col>1</xdr:col>
                    <xdr:colOff>198120</xdr:colOff>
                    <xdr:row>12</xdr:row>
                    <xdr:rowOff>335280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8BA5A9DC-A4B2-482A-80BF-FE910F4C59FA}">
          <x14:formula1>
            <xm:f>リスト!$A$2:$A$483</xm:f>
          </x14:formula1>
          <xm:sqref>G3:H3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605D4-219E-462C-B722-AEF85734F40B}">
  <dimension ref="A1:F483"/>
  <sheetViews>
    <sheetView workbookViewId="0">
      <selection activeCell="B41" sqref="B41"/>
    </sheetView>
  </sheetViews>
  <sheetFormatPr defaultColWidth="8.75" defaultRowHeight="14.45"/>
  <cols>
    <col min="1" max="1" width="23.5" style="31" bestFit="1" customWidth="1"/>
    <col min="2" max="2" width="55.375" style="31" bestFit="1" customWidth="1"/>
    <col min="3" max="5" width="8.75" style="31"/>
    <col min="6" max="6" width="25.5" style="31" bestFit="1" customWidth="1"/>
    <col min="7" max="16384" width="8.75" style="31"/>
  </cols>
  <sheetData>
    <row r="1" spans="1:6">
      <c r="A1" s="72" t="s">
        <v>111</v>
      </c>
      <c r="B1" s="72" t="s">
        <v>112</v>
      </c>
      <c r="D1" s="75" t="s">
        <v>113</v>
      </c>
      <c r="F1" s="75" t="s">
        <v>114</v>
      </c>
    </row>
    <row r="2" spans="1:6">
      <c r="A2" s="73" t="s">
        <v>115</v>
      </c>
      <c r="B2" s="73" t="s">
        <v>116</v>
      </c>
      <c r="D2" s="73" t="s">
        <v>117</v>
      </c>
      <c r="F2" s="73" t="s">
        <v>118</v>
      </c>
    </row>
    <row r="3" spans="1:6">
      <c r="A3" s="74" t="s">
        <v>119</v>
      </c>
      <c r="B3" s="74" t="s">
        <v>120</v>
      </c>
      <c r="D3" s="73" t="s">
        <v>121</v>
      </c>
      <c r="F3" s="73" t="s">
        <v>122</v>
      </c>
    </row>
    <row r="4" spans="1:6">
      <c r="A4" s="74" t="s">
        <v>123</v>
      </c>
      <c r="B4" s="74" t="s">
        <v>124</v>
      </c>
      <c r="D4" s="73" t="s">
        <v>125</v>
      </c>
      <c r="F4" s="73" t="s">
        <v>126</v>
      </c>
    </row>
    <row r="5" spans="1:6">
      <c r="A5" s="74" t="s">
        <v>127</v>
      </c>
      <c r="B5" s="74" t="s">
        <v>128</v>
      </c>
      <c r="F5" s="73" t="s">
        <v>129</v>
      </c>
    </row>
    <row r="6" spans="1:6">
      <c r="A6" s="74" t="s">
        <v>130</v>
      </c>
      <c r="B6" s="74" t="s">
        <v>131</v>
      </c>
    </row>
    <row r="7" spans="1:6">
      <c r="A7" s="74" t="s">
        <v>132</v>
      </c>
      <c r="B7" s="74" t="s">
        <v>133</v>
      </c>
    </row>
    <row r="8" spans="1:6">
      <c r="A8" s="74" t="s">
        <v>134</v>
      </c>
      <c r="B8" s="74" t="s">
        <v>135</v>
      </c>
    </row>
    <row r="9" spans="1:6">
      <c r="A9" s="74" t="s">
        <v>136</v>
      </c>
      <c r="B9" s="74" t="s">
        <v>137</v>
      </c>
    </row>
    <row r="10" spans="1:6">
      <c r="A10" s="74" t="s">
        <v>138</v>
      </c>
      <c r="B10" s="74" t="s">
        <v>139</v>
      </c>
    </row>
    <row r="11" spans="1:6">
      <c r="A11" s="74" t="s">
        <v>140</v>
      </c>
      <c r="B11" s="74" t="s">
        <v>141</v>
      </c>
    </row>
    <row r="12" spans="1:6">
      <c r="A12" s="74" t="s">
        <v>142</v>
      </c>
      <c r="B12" s="74" t="s">
        <v>143</v>
      </c>
    </row>
    <row r="13" spans="1:6">
      <c r="A13" s="74" t="s">
        <v>144</v>
      </c>
      <c r="B13" s="74" t="s">
        <v>145</v>
      </c>
    </row>
    <row r="14" spans="1:6">
      <c r="A14" s="74" t="s">
        <v>146</v>
      </c>
      <c r="B14" s="74" t="s">
        <v>147</v>
      </c>
    </row>
    <row r="15" spans="1:6">
      <c r="A15" s="74" t="s">
        <v>148</v>
      </c>
      <c r="B15" s="74" t="s">
        <v>149</v>
      </c>
    </row>
    <row r="16" spans="1:6">
      <c r="A16" s="74" t="s">
        <v>150</v>
      </c>
      <c r="B16" s="74" t="s">
        <v>151</v>
      </c>
    </row>
    <row r="17" spans="1:2">
      <c r="A17" s="74" t="s">
        <v>152</v>
      </c>
      <c r="B17" s="74" t="s">
        <v>153</v>
      </c>
    </row>
    <row r="18" spans="1:2">
      <c r="A18" s="74" t="s">
        <v>154</v>
      </c>
      <c r="B18" s="74" t="s">
        <v>155</v>
      </c>
    </row>
    <row r="19" spans="1:2">
      <c r="A19" s="74" t="s">
        <v>156</v>
      </c>
      <c r="B19" s="74" t="s">
        <v>157</v>
      </c>
    </row>
    <row r="20" spans="1:2">
      <c r="A20" s="74" t="s">
        <v>158</v>
      </c>
      <c r="B20" s="74" t="s">
        <v>159</v>
      </c>
    </row>
    <row r="21" spans="1:2">
      <c r="A21" s="74" t="s">
        <v>160</v>
      </c>
      <c r="B21" s="74" t="s">
        <v>161</v>
      </c>
    </row>
    <row r="22" spans="1:2">
      <c r="A22" s="74" t="s">
        <v>162</v>
      </c>
      <c r="B22" s="74" t="s">
        <v>163</v>
      </c>
    </row>
    <row r="23" spans="1:2">
      <c r="A23" s="74" t="s">
        <v>164</v>
      </c>
      <c r="B23" s="74" t="s">
        <v>165</v>
      </c>
    </row>
    <row r="24" spans="1:2">
      <c r="A24" s="74" t="s">
        <v>166</v>
      </c>
      <c r="B24" s="74" t="s">
        <v>167</v>
      </c>
    </row>
    <row r="25" spans="1:2">
      <c r="A25" s="74" t="s">
        <v>168</v>
      </c>
      <c r="B25" s="74" t="s">
        <v>169</v>
      </c>
    </row>
    <row r="26" spans="1:2">
      <c r="A26" s="74" t="s">
        <v>170</v>
      </c>
      <c r="B26" s="74" t="s">
        <v>171</v>
      </c>
    </row>
    <row r="27" spans="1:2">
      <c r="A27" s="74" t="s">
        <v>172</v>
      </c>
      <c r="B27" s="74" t="s">
        <v>173</v>
      </c>
    </row>
    <row r="28" spans="1:2">
      <c r="A28" s="74" t="s">
        <v>174</v>
      </c>
      <c r="B28" s="74" t="s">
        <v>175</v>
      </c>
    </row>
    <row r="29" spans="1:2">
      <c r="A29" s="74" t="s">
        <v>176</v>
      </c>
      <c r="B29" s="74" t="s">
        <v>177</v>
      </c>
    </row>
    <row r="30" spans="1:2">
      <c r="A30" s="74" t="s">
        <v>178</v>
      </c>
      <c r="B30" s="74" t="s">
        <v>179</v>
      </c>
    </row>
    <row r="31" spans="1:2">
      <c r="A31" s="74" t="s">
        <v>180</v>
      </c>
      <c r="B31" s="74" t="s">
        <v>181</v>
      </c>
    </row>
    <row r="32" spans="1:2">
      <c r="A32" s="74" t="s">
        <v>182</v>
      </c>
      <c r="B32" s="74" t="s">
        <v>183</v>
      </c>
    </row>
    <row r="33" spans="1:2">
      <c r="A33" s="74" t="s">
        <v>184</v>
      </c>
      <c r="B33" s="74" t="s">
        <v>185</v>
      </c>
    </row>
    <row r="34" spans="1:2">
      <c r="A34" s="74" t="s">
        <v>186</v>
      </c>
      <c r="B34" s="74" t="s">
        <v>187</v>
      </c>
    </row>
    <row r="35" spans="1:2">
      <c r="A35" s="74" t="s">
        <v>188</v>
      </c>
      <c r="B35" s="74" t="s">
        <v>189</v>
      </c>
    </row>
    <row r="36" spans="1:2">
      <c r="A36" s="74" t="s">
        <v>190</v>
      </c>
      <c r="B36" s="74" t="s">
        <v>191</v>
      </c>
    </row>
    <row r="37" spans="1:2">
      <c r="A37" s="74" t="s">
        <v>192</v>
      </c>
      <c r="B37" s="74" t="s">
        <v>193</v>
      </c>
    </row>
    <row r="38" spans="1:2">
      <c r="A38" s="74" t="s">
        <v>194</v>
      </c>
      <c r="B38" s="74" t="s">
        <v>195</v>
      </c>
    </row>
    <row r="39" spans="1:2">
      <c r="A39" s="74" t="s">
        <v>196</v>
      </c>
      <c r="B39" s="74" t="s">
        <v>197</v>
      </c>
    </row>
    <row r="40" spans="1:2">
      <c r="A40" s="74" t="s">
        <v>198</v>
      </c>
      <c r="B40" s="74" t="s">
        <v>199</v>
      </c>
    </row>
    <row r="41" spans="1:2">
      <c r="A41" s="74" t="s">
        <v>200</v>
      </c>
      <c r="B41" s="74" t="s">
        <v>201</v>
      </c>
    </row>
    <row r="42" spans="1:2">
      <c r="A42" s="74" t="s">
        <v>202</v>
      </c>
      <c r="B42" s="74" t="s">
        <v>203</v>
      </c>
    </row>
    <row r="43" spans="1:2">
      <c r="A43" s="74" t="s">
        <v>204</v>
      </c>
      <c r="B43" s="74" t="s">
        <v>205</v>
      </c>
    </row>
    <row r="44" spans="1:2">
      <c r="A44" s="74" t="s">
        <v>206</v>
      </c>
      <c r="B44" s="74" t="s">
        <v>207</v>
      </c>
    </row>
    <row r="45" spans="1:2">
      <c r="A45" s="74" t="s">
        <v>208</v>
      </c>
      <c r="B45" s="74" t="s">
        <v>209</v>
      </c>
    </row>
    <row r="46" spans="1:2">
      <c r="A46" s="74" t="s">
        <v>210</v>
      </c>
      <c r="B46" s="74" t="s">
        <v>211</v>
      </c>
    </row>
    <row r="47" spans="1:2">
      <c r="A47" s="74" t="s">
        <v>212</v>
      </c>
      <c r="B47" s="74" t="s">
        <v>213</v>
      </c>
    </row>
    <row r="48" spans="1:2">
      <c r="A48" s="74" t="s">
        <v>214</v>
      </c>
      <c r="B48" s="74" t="s">
        <v>215</v>
      </c>
    </row>
    <row r="49" spans="1:2">
      <c r="A49" s="74" t="s">
        <v>216</v>
      </c>
      <c r="B49" s="74" t="s">
        <v>217</v>
      </c>
    </row>
    <row r="50" spans="1:2">
      <c r="A50" s="74" t="s">
        <v>218</v>
      </c>
      <c r="B50" s="74" t="s">
        <v>219</v>
      </c>
    </row>
    <row r="51" spans="1:2">
      <c r="A51" s="74" t="s">
        <v>220</v>
      </c>
      <c r="B51" s="74" t="s">
        <v>221</v>
      </c>
    </row>
    <row r="52" spans="1:2">
      <c r="A52" s="74" t="s">
        <v>222</v>
      </c>
      <c r="B52" s="74" t="s">
        <v>223</v>
      </c>
    </row>
    <row r="53" spans="1:2">
      <c r="A53" s="74" t="s">
        <v>224</v>
      </c>
      <c r="B53" s="74" t="s">
        <v>225</v>
      </c>
    </row>
    <row r="54" spans="1:2">
      <c r="A54" s="74" t="s">
        <v>226</v>
      </c>
      <c r="B54" s="74" t="s">
        <v>227</v>
      </c>
    </row>
    <row r="55" spans="1:2">
      <c r="A55" s="74" t="s">
        <v>228</v>
      </c>
      <c r="B55" s="74" t="s">
        <v>229</v>
      </c>
    </row>
    <row r="56" spans="1:2">
      <c r="A56" s="74" t="s">
        <v>230</v>
      </c>
      <c r="B56" s="74" t="s">
        <v>231</v>
      </c>
    </row>
    <row r="57" spans="1:2">
      <c r="A57" s="74" t="s">
        <v>232</v>
      </c>
      <c r="B57" s="74" t="s">
        <v>233</v>
      </c>
    </row>
    <row r="58" spans="1:2">
      <c r="A58" s="74" t="s">
        <v>234</v>
      </c>
      <c r="B58" s="74" t="s">
        <v>235</v>
      </c>
    </row>
    <row r="59" spans="1:2">
      <c r="A59" s="74" t="s">
        <v>236</v>
      </c>
      <c r="B59" s="74" t="s">
        <v>237</v>
      </c>
    </row>
    <row r="60" spans="1:2">
      <c r="A60" s="74" t="s">
        <v>238</v>
      </c>
      <c r="B60" s="74" t="s">
        <v>239</v>
      </c>
    </row>
    <row r="61" spans="1:2">
      <c r="A61" s="74" t="s">
        <v>240</v>
      </c>
      <c r="B61" s="74" t="s">
        <v>241</v>
      </c>
    </row>
    <row r="62" spans="1:2">
      <c r="A62" s="74" t="s">
        <v>242</v>
      </c>
      <c r="B62" s="74" t="s">
        <v>243</v>
      </c>
    </row>
    <row r="63" spans="1:2">
      <c r="A63" s="74" t="s">
        <v>244</v>
      </c>
      <c r="B63" s="74" t="s">
        <v>245</v>
      </c>
    </row>
    <row r="64" spans="1:2">
      <c r="A64" s="74" t="s">
        <v>246</v>
      </c>
      <c r="B64" s="74" t="s">
        <v>247</v>
      </c>
    </row>
    <row r="65" spans="1:2">
      <c r="A65" s="74" t="s">
        <v>248</v>
      </c>
      <c r="B65" s="74" t="s">
        <v>249</v>
      </c>
    </row>
    <row r="66" spans="1:2">
      <c r="A66" s="74" t="s">
        <v>250</v>
      </c>
      <c r="B66" s="74" t="s">
        <v>251</v>
      </c>
    </row>
    <row r="67" spans="1:2">
      <c r="A67" s="74" t="s">
        <v>252</v>
      </c>
      <c r="B67" s="74" t="s">
        <v>253</v>
      </c>
    </row>
    <row r="68" spans="1:2">
      <c r="A68" s="74" t="s">
        <v>254</v>
      </c>
      <c r="B68" s="74" t="s">
        <v>255</v>
      </c>
    </row>
    <row r="69" spans="1:2">
      <c r="A69" s="74" t="s">
        <v>256</v>
      </c>
      <c r="B69" s="74" t="s">
        <v>257</v>
      </c>
    </row>
    <row r="70" spans="1:2">
      <c r="A70" s="74" t="s">
        <v>258</v>
      </c>
      <c r="B70" s="74" t="s">
        <v>259</v>
      </c>
    </row>
    <row r="71" spans="1:2">
      <c r="A71" s="74" t="s">
        <v>260</v>
      </c>
      <c r="B71" s="74" t="s">
        <v>261</v>
      </c>
    </row>
    <row r="72" spans="1:2">
      <c r="A72" s="74" t="s">
        <v>262</v>
      </c>
      <c r="B72" s="74" t="s">
        <v>263</v>
      </c>
    </row>
    <row r="73" spans="1:2">
      <c r="A73" s="74" t="s">
        <v>264</v>
      </c>
      <c r="B73" s="74" t="s">
        <v>265</v>
      </c>
    </row>
    <row r="74" spans="1:2">
      <c r="A74" s="74" t="s">
        <v>266</v>
      </c>
      <c r="B74" s="74" t="s">
        <v>267</v>
      </c>
    </row>
    <row r="75" spans="1:2">
      <c r="A75" s="74" t="s">
        <v>268</v>
      </c>
      <c r="B75" s="74" t="s">
        <v>269</v>
      </c>
    </row>
    <row r="76" spans="1:2">
      <c r="A76" s="74" t="s">
        <v>270</v>
      </c>
      <c r="B76" s="74" t="s">
        <v>271</v>
      </c>
    </row>
    <row r="77" spans="1:2">
      <c r="A77" s="74" t="s">
        <v>272</v>
      </c>
      <c r="B77" s="74" t="s">
        <v>273</v>
      </c>
    </row>
    <row r="78" spans="1:2">
      <c r="A78" s="74" t="s">
        <v>274</v>
      </c>
      <c r="B78" s="74" t="s">
        <v>275</v>
      </c>
    </row>
    <row r="79" spans="1:2">
      <c r="A79" s="74" t="s">
        <v>276</v>
      </c>
      <c r="B79" s="74" t="s">
        <v>277</v>
      </c>
    </row>
    <row r="80" spans="1:2">
      <c r="A80" s="74" t="s">
        <v>278</v>
      </c>
      <c r="B80" s="74" t="s">
        <v>279</v>
      </c>
    </row>
    <row r="81" spans="1:2">
      <c r="A81" s="74" t="s">
        <v>280</v>
      </c>
      <c r="B81" s="74" t="s">
        <v>281</v>
      </c>
    </row>
    <row r="82" spans="1:2">
      <c r="A82" s="74" t="s">
        <v>282</v>
      </c>
      <c r="B82" s="74" t="s">
        <v>283</v>
      </c>
    </row>
    <row r="83" spans="1:2">
      <c r="A83" s="74" t="s">
        <v>284</v>
      </c>
      <c r="B83" s="74" t="s">
        <v>285</v>
      </c>
    </row>
    <row r="84" spans="1:2">
      <c r="A84" s="74" t="s">
        <v>286</v>
      </c>
      <c r="B84" s="74" t="s">
        <v>287</v>
      </c>
    </row>
    <row r="85" spans="1:2">
      <c r="A85" s="74" t="s">
        <v>288</v>
      </c>
      <c r="B85" s="74" t="s">
        <v>289</v>
      </c>
    </row>
    <row r="86" spans="1:2">
      <c r="A86" s="74" t="s">
        <v>290</v>
      </c>
      <c r="B86" s="74" t="s">
        <v>291</v>
      </c>
    </row>
    <row r="87" spans="1:2">
      <c r="A87" s="74" t="s">
        <v>292</v>
      </c>
      <c r="B87" s="74" t="s">
        <v>293</v>
      </c>
    </row>
    <row r="88" spans="1:2">
      <c r="A88" s="74" t="s">
        <v>294</v>
      </c>
      <c r="B88" s="74" t="s">
        <v>295</v>
      </c>
    </row>
    <row r="89" spans="1:2">
      <c r="A89" s="74" t="s">
        <v>296</v>
      </c>
      <c r="B89" s="74" t="s">
        <v>297</v>
      </c>
    </row>
    <row r="90" spans="1:2">
      <c r="A90" s="74" t="s">
        <v>298</v>
      </c>
      <c r="B90" s="74" t="s">
        <v>299</v>
      </c>
    </row>
    <row r="91" spans="1:2">
      <c r="A91" s="74" t="s">
        <v>300</v>
      </c>
      <c r="B91" s="74" t="s">
        <v>301</v>
      </c>
    </row>
    <row r="92" spans="1:2">
      <c r="A92" s="74" t="s">
        <v>302</v>
      </c>
      <c r="B92" s="74" t="s">
        <v>303</v>
      </c>
    </row>
    <row r="93" spans="1:2">
      <c r="A93" s="74" t="s">
        <v>304</v>
      </c>
      <c r="B93" s="74" t="s">
        <v>305</v>
      </c>
    </row>
    <row r="94" spans="1:2">
      <c r="A94" s="74" t="s">
        <v>306</v>
      </c>
      <c r="B94" s="74" t="s">
        <v>307</v>
      </c>
    </row>
    <row r="95" spans="1:2">
      <c r="A95" s="74" t="s">
        <v>308</v>
      </c>
      <c r="B95" s="74" t="s">
        <v>309</v>
      </c>
    </row>
    <row r="96" spans="1:2">
      <c r="A96" s="74" t="s">
        <v>310</v>
      </c>
      <c r="B96" s="74" t="s">
        <v>311</v>
      </c>
    </row>
    <row r="97" spans="1:2">
      <c r="A97" s="74" t="s">
        <v>312</v>
      </c>
      <c r="B97" s="74" t="s">
        <v>313</v>
      </c>
    </row>
    <row r="98" spans="1:2">
      <c r="A98" s="74" t="s">
        <v>314</v>
      </c>
      <c r="B98" s="74" t="s">
        <v>315</v>
      </c>
    </row>
    <row r="99" spans="1:2">
      <c r="A99" s="74" t="s">
        <v>316</v>
      </c>
      <c r="B99" s="74" t="s">
        <v>317</v>
      </c>
    </row>
    <row r="100" spans="1:2">
      <c r="A100" s="74" t="s">
        <v>318</v>
      </c>
      <c r="B100" s="74" t="s">
        <v>319</v>
      </c>
    </row>
    <row r="101" spans="1:2">
      <c r="A101" s="74" t="s">
        <v>320</v>
      </c>
      <c r="B101" s="74" t="s">
        <v>321</v>
      </c>
    </row>
    <row r="102" spans="1:2">
      <c r="A102" s="74" t="s">
        <v>322</v>
      </c>
      <c r="B102" s="74" t="s">
        <v>323</v>
      </c>
    </row>
    <row r="103" spans="1:2">
      <c r="A103" s="74" t="s">
        <v>324</v>
      </c>
      <c r="B103" s="74" t="s">
        <v>325</v>
      </c>
    </row>
    <row r="104" spans="1:2">
      <c r="A104" s="74" t="s">
        <v>326</v>
      </c>
      <c r="B104" s="74" t="s">
        <v>327</v>
      </c>
    </row>
    <row r="105" spans="1:2">
      <c r="A105" s="74" t="s">
        <v>328</v>
      </c>
      <c r="B105" s="74" t="s">
        <v>329</v>
      </c>
    </row>
    <row r="106" spans="1:2">
      <c r="A106" s="74" t="s">
        <v>330</v>
      </c>
      <c r="B106" s="74" t="s">
        <v>331</v>
      </c>
    </row>
    <row r="107" spans="1:2">
      <c r="A107" s="74" t="s">
        <v>332</v>
      </c>
      <c r="B107" s="74" t="s">
        <v>333</v>
      </c>
    </row>
    <row r="108" spans="1:2">
      <c r="A108" s="74" t="s">
        <v>334</v>
      </c>
      <c r="B108" s="74" t="s">
        <v>335</v>
      </c>
    </row>
    <row r="109" spans="1:2">
      <c r="A109" s="74" t="s">
        <v>336</v>
      </c>
      <c r="B109" s="74" t="s">
        <v>337</v>
      </c>
    </row>
    <row r="110" spans="1:2">
      <c r="A110" s="74" t="s">
        <v>338</v>
      </c>
      <c r="B110" s="74" t="s">
        <v>339</v>
      </c>
    </row>
    <row r="111" spans="1:2">
      <c r="A111" s="74" t="s">
        <v>340</v>
      </c>
      <c r="B111" s="74" t="s">
        <v>341</v>
      </c>
    </row>
    <row r="112" spans="1:2">
      <c r="A112" s="74" t="s">
        <v>342</v>
      </c>
      <c r="B112" s="74" t="s">
        <v>343</v>
      </c>
    </row>
    <row r="113" spans="1:2">
      <c r="A113" s="74" t="s">
        <v>344</v>
      </c>
      <c r="B113" s="74" t="s">
        <v>345</v>
      </c>
    </row>
    <row r="114" spans="1:2">
      <c r="A114" s="74" t="s">
        <v>346</v>
      </c>
      <c r="B114" s="74" t="s">
        <v>347</v>
      </c>
    </row>
    <row r="115" spans="1:2">
      <c r="A115" s="74" t="s">
        <v>348</v>
      </c>
      <c r="B115" s="74" t="s">
        <v>349</v>
      </c>
    </row>
    <row r="116" spans="1:2">
      <c r="A116" s="74" t="s">
        <v>350</v>
      </c>
      <c r="B116" s="74" t="s">
        <v>351</v>
      </c>
    </row>
    <row r="117" spans="1:2">
      <c r="A117" s="74" t="s">
        <v>352</v>
      </c>
      <c r="B117" s="74" t="s">
        <v>353</v>
      </c>
    </row>
    <row r="118" spans="1:2">
      <c r="A118" s="74" t="s">
        <v>354</v>
      </c>
      <c r="B118" s="74" t="s">
        <v>355</v>
      </c>
    </row>
    <row r="119" spans="1:2">
      <c r="A119" s="74" t="s">
        <v>356</v>
      </c>
      <c r="B119" s="74" t="s">
        <v>357</v>
      </c>
    </row>
    <row r="120" spans="1:2">
      <c r="A120" s="74" t="s">
        <v>358</v>
      </c>
      <c r="B120" s="74" t="s">
        <v>359</v>
      </c>
    </row>
    <row r="121" spans="1:2">
      <c r="A121" s="74" t="s">
        <v>360</v>
      </c>
      <c r="B121" s="74" t="s">
        <v>361</v>
      </c>
    </row>
    <row r="122" spans="1:2">
      <c r="A122" s="74" t="s">
        <v>362</v>
      </c>
      <c r="B122" s="74" t="s">
        <v>363</v>
      </c>
    </row>
    <row r="123" spans="1:2">
      <c r="A123" s="74" t="s">
        <v>364</v>
      </c>
      <c r="B123" s="74" t="s">
        <v>365</v>
      </c>
    </row>
    <row r="124" spans="1:2">
      <c r="A124" s="74" t="s">
        <v>366</v>
      </c>
      <c r="B124" s="74" t="s">
        <v>367</v>
      </c>
    </row>
    <row r="125" spans="1:2">
      <c r="A125" s="74" t="s">
        <v>368</v>
      </c>
      <c r="B125" s="74" t="s">
        <v>369</v>
      </c>
    </row>
    <row r="126" spans="1:2">
      <c r="A126" s="74" t="s">
        <v>370</v>
      </c>
      <c r="B126" s="74" t="s">
        <v>371</v>
      </c>
    </row>
    <row r="127" spans="1:2">
      <c r="A127" s="74" t="s">
        <v>372</v>
      </c>
      <c r="B127" s="74" t="s">
        <v>373</v>
      </c>
    </row>
    <row r="128" spans="1:2">
      <c r="A128" s="74" t="s">
        <v>374</v>
      </c>
      <c r="B128" s="74" t="s">
        <v>375</v>
      </c>
    </row>
    <row r="129" spans="1:2">
      <c r="A129" s="74" t="s">
        <v>376</v>
      </c>
      <c r="B129" s="74" t="s">
        <v>377</v>
      </c>
    </row>
    <row r="130" spans="1:2">
      <c r="A130" s="74" t="s">
        <v>378</v>
      </c>
      <c r="B130" s="74" t="s">
        <v>379</v>
      </c>
    </row>
    <row r="131" spans="1:2">
      <c r="A131" s="74" t="s">
        <v>380</v>
      </c>
      <c r="B131" s="74" t="s">
        <v>381</v>
      </c>
    </row>
    <row r="132" spans="1:2">
      <c r="A132" s="74" t="s">
        <v>382</v>
      </c>
      <c r="B132" s="74" t="s">
        <v>383</v>
      </c>
    </row>
    <row r="133" spans="1:2">
      <c r="A133" s="74" t="s">
        <v>384</v>
      </c>
      <c r="B133" s="74" t="s">
        <v>385</v>
      </c>
    </row>
    <row r="134" spans="1:2">
      <c r="A134" s="74" t="s">
        <v>386</v>
      </c>
      <c r="B134" s="74" t="s">
        <v>387</v>
      </c>
    </row>
    <row r="135" spans="1:2">
      <c r="A135" s="74" t="s">
        <v>388</v>
      </c>
      <c r="B135" s="74" t="s">
        <v>389</v>
      </c>
    </row>
    <row r="136" spans="1:2">
      <c r="A136" s="74" t="s">
        <v>390</v>
      </c>
      <c r="B136" s="74" t="s">
        <v>391</v>
      </c>
    </row>
    <row r="137" spans="1:2">
      <c r="A137" s="74" t="s">
        <v>392</v>
      </c>
      <c r="B137" s="74" t="s">
        <v>393</v>
      </c>
    </row>
    <row r="138" spans="1:2">
      <c r="A138" s="74" t="s">
        <v>394</v>
      </c>
      <c r="B138" s="74" t="s">
        <v>395</v>
      </c>
    </row>
    <row r="139" spans="1:2">
      <c r="A139" s="74" t="s">
        <v>396</v>
      </c>
      <c r="B139" s="74" t="s">
        <v>397</v>
      </c>
    </row>
    <row r="140" spans="1:2">
      <c r="A140" s="74" t="s">
        <v>398</v>
      </c>
      <c r="B140" s="74" t="s">
        <v>399</v>
      </c>
    </row>
    <row r="141" spans="1:2">
      <c r="A141" s="74" t="s">
        <v>400</v>
      </c>
      <c r="B141" s="74" t="s">
        <v>401</v>
      </c>
    </row>
    <row r="142" spans="1:2">
      <c r="A142" s="74" t="s">
        <v>402</v>
      </c>
      <c r="B142" s="74" t="s">
        <v>403</v>
      </c>
    </row>
    <row r="143" spans="1:2">
      <c r="A143" s="74" t="s">
        <v>404</v>
      </c>
      <c r="B143" s="74" t="s">
        <v>405</v>
      </c>
    </row>
    <row r="144" spans="1:2">
      <c r="A144" s="74" t="s">
        <v>406</v>
      </c>
      <c r="B144" s="74" t="s">
        <v>407</v>
      </c>
    </row>
    <row r="145" spans="1:2">
      <c r="A145" s="74" t="s">
        <v>408</v>
      </c>
      <c r="B145" s="74" t="s">
        <v>409</v>
      </c>
    </row>
    <row r="146" spans="1:2">
      <c r="A146" s="74" t="s">
        <v>410</v>
      </c>
      <c r="B146" s="74" t="s">
        <v>411</v>
      </c>
    </row>
    <row r="147" spans="1:2">
      <c r="A147" s="74" t="s">
        <v>412</v>
      </c>
      <c r="B147" s="74" t="s">
        <v>413</v>
      </c>
    </row>
    <row r="148" spans="1:2">
      <c r="A148" s="74" t="s">
        <v>414</v>
      </c>
      <c r="B148" s="74" t="s">
        <v>415</v>
      </c>
    </row>
    <row r="149" spans="1:2">
      <c r="A149" s="74" t="s">
        <v>416</v>
      </c>
      <c r="B149" s="74" t="s">
        <v>417</v>
      </c>
    </row>
    <row r="150" spans="1:2">
      <c r="A150" s="74" t="s">
        <v>418</v>
      </c>
      <c r="B150" s="74" t="s">
        <v>419</v>
      </c>
    </row>
    <row r="151" spans="1:2">
      <c r="A151" s="74" t="s">
        <v>420</v>
      </c>
      <c r="B151" s="74" t="s">
        <v>421</v>
      </c>
    </row>
    <row r="152" spans="1:2">
      <c r="A152" s="74" t="s">
        <v>422</v>
      </c>
      <c r="B152" s="74" t="s">
        <v>423</v>
      </c>
    </row>
    <row r="153" spans="1:2">
      <c r="A153" s="74" t="s">
        <v>424</v>
      </c>
      <c r="B153" s="74" t="s">
        <v>425</v>
      </c>
    </row>
    <row r="154" spans="1:2">
      <c r="A154" s="74" t="s">
        <v>426</v>
      </c>
      <c r="B154" s="74" t="s">
        <v>427</v>
      </c>
    </row>
    <row r="155" spans="1:2">
      <c r="A155" s="74" t="s">
        <v>428</v>
      </c>
      <c r="B155" s="74" t="s">
        <v>429</v>
      </c>
    </row>
    <row r="156" spans="1:2">
      <c r="A156" s="74" t="s">
        <v>430</v>
      </c>
      <c r="B156" s="74" t="s">
        <v>431</v>
      </c>
    </row>
    <row r="157" spans="1:2">
      <c r="A157" s="74" t="s">
        <v>432</v>
      </c>
      <c r="B157" s="74" t="s">
        <v>433</v>
      </c>
    </row>
    <row r="158" spans="1:2">
      <c r="A158" s="74" t="s">
        <v>434</v>
      </c>
      <c r="B158" s="74" t="s">
        <v>435</v>
      </c>
    </row>
    <row r="159" spans="1:2">
      <c r="A159" s="74" t="s">
        <v>436</v>
      </c>
      <c r="B159" s="74" t="s">
        <v>437</v>
      </c>
    </row>
    <row r="160" spans="1:2">
      <c r="A160" s="74" t="s">
        <v>438</v>
      </c>
      <c r="B160" s="74" t="s">
        <v>439</v>
      </c>
    </row>
    <row r="161" spans="1:2">
      <c r="A161" s="74" t="s">
        <v>440</v>
      </c>
      <c r="B161" s="74" t="s">
        <v>441</v>
      </c>
    </row>
    <row r="162" spans="1:2">
      <c r="A162" s="74" t="s">
        <v>442</v>
      </c>
      <c r="B162" s="74" t="s">
        <v>443</v>
      </c>
    </row>
    <row r="163" spans="1:2">
      <c r="A163" s="74" t="s">
        <v>444</v>
      </c>
      <c r="B163" s="74" t="s">
        <v>445</v>
      </c>
    </row>
    <row r="164" spans="1:2">
      <c r="A164" s="74" t="s">
        <v>446</v>
      </c>
      <c r="B164" s="74" t="s">
        <v>447</v>
      </c>
    </row>
    <row r="165" spans="1:2">
      <c r="A165" s="74" t="s">
        <v>448</v>
      </c>
      <c r="B165" s="74" t="s">
        <v>449</v>
      </c>
    </row>
    <row r="166" spans="1:2">
      <c r="A166" s="74" t="s">
        <v>450</v>
      </c>
      <c r="B166" s="74" t="s">
        <v>451</v>
      </c>
    </row>
    <row r="167" spans="1:2">
      <c r="A167" s="74" t="s">
        <v>452</v>
      </c>
      <c r="B167" s="74" t="s">
        <v>453</v>
      </c>
    </row>
    <row r="168" spans="1:2">
      <c r="A168" s="74" t="s">
        <v>454</v>
      </c>
      <c r="B168" s="74" t="s">
        <v>455</v>
      </c>
    </row>
    <row r="169" spans="1:2">
      <c r="A169" s="74" t="s">
        <v>456</v>
      </c>
      <c r="B169" s="74" t="s">
        <v>457</v>
      </c>
    </row>
    <row r="170" spans="1:2">
      <c r="A170" s="74" t="s">
        <v>458</v>
      </c>
      <c r="B170" s="74" t="s">
        <v>459</v>
      </c>
    </row>
    <row r="171" spans="1:2">
      <c r="A171" s="74" t="s">
        <v>460</v>
      </c>
      <c r="B171" s="74" t="s">
        <v>461</v>
      </c>
    </row>
    <row r="172" spans="1:2">
      <c r="A172" s="74" t="s">
        <v>462</v>
      </c>
      <c r="B172" s="74" t="s">
        <v>463</v>
      </c>
    </row>
    <row r="173" spans="1:2">
      <c r="A173" s="74" t="s">
        <v>464</v>
      </c>
      <c r="B173" s="74" t="s">
        <v>465</v>
      </c>
    </row>
    <row r="174" spans="1:2">
      <c r="A174" s="74" t="s">
        <v>466</v>
      </c>
      <c r="B174" s="74" t="s">
        <v>467</v>
      </c>
    </row>
    <row r="175" spans="1:2">
      <c r="A175" s="74" t="s">
        <v>468</v>
      </c>
      <c r="B175" s="74" t="s">
        <v>469</v>
      </c>
    </row>
    <row r="176" spans="1:2">
      <c r="A176" s="74" t="s">
        <v>470</v>
      </c>
      <c r="B176" s="74" t="s">
        <v>471</v>
      </c>
    </row>
    <row r="177" spans="1:2">
      <c r="A177" s="74" t="s">
        <v>472</v>
      </c>
      <c r="B177" s="74" t="s">
        <v>473</v>
      </c>
    </row>
    <row r="178" spans="1:2">
      <c r="A178" s="74" t="s">
        <v>474</v>
      </c>
      <c r="B178" s="74" t="s">
        <v>475</v>
      </c>
    </row>
    <row r="179" spans="1:2">
      <c r="A179" s="74" t="s">
        <v>476</v>
      </c>
      <c r="B179" s="74" t="s">
        <v>477</v>
      </c>
    </row>
    <row r="180" spans="1:2">
      <c r="A180" s="74" t="s">
        <v>478</v>
      </c>
      <c r="B180" s="74" t="s">
        <v>479</v>
      </c>
    </row>
    <row r="181" spans="1:2">
      <c r="A181" s="74" t="s">
        <v>480</v>
      </c>
      <c r="B181" s="74" t="s">
        <v>481</v>
      </c>
    </row>
    <row r="182" spans="1:2">
      <c r="A182" s="74" t="s">
        <v>482</v>
      </c>
      <c r="B182" s="74" t="s">
        <v>483</v>
      </c>
    </row>
    <row r="183" spans="1:2">
      <c r="A183" s="74" t="s">
        <v>484</v>
      </c>
      <c r="B183" s="74" t="s">
        <v>485</v>
      </c>
    </row>
    <row r="184" spans="1:2">
      <c r="A184" s="74" t="s">
        <v>486</v>
      </c>
      <c r="B184" s="74" t="s">
        <v>487</v>
      </c>
    </row>
    <row r="185" spans="1:2">
      <c r="A185" s="74" t="s">
        <v>488</v>
      </c>
      <c r="B185" s="74" t="s">
        <v>489</v>
      </c>
    </row>
    <row r="186" spans="1:2">
      <c r="A186" s="74" t="s">
        <v>490</v>
      </c>
      <c r="B186" s="74" t="s">
        <v>491</v>
      </c>
    </row>
    <row r="187" spans="1:2">
      <c r="A187" s="74" t="s">
        <v>492</v>
      </c>
      <c r="B187" s="74" t="s">
        <v>493</v>
      </c>
    </row>
    <row r="188" spans="1:2">
      <c r="A188" s="74" t="s">
        <v>494</v>
      </c>
      <c r="B188" s="74" t="s">
        <v>495</v>
      </c>
    </row>
    <row r="189" spans="1:2">
      <c r="A189" s="74" t="s">
        <v>496</v>
      </c>
      <c r="B189" s="74" t="s">
        <v>497</v>
      </c>
    </row>
    <row r="190" spans="1:2">
      <c r="A190" s="74" t="s">
        <v>498</v>
      </c>
      <c r="B190" s="74" t="s">
        <v>499</v>
      </c>
    </row>
    <row r="191" spans="1:2">
      <c r="A191" s="74" t="s">
        <v>500</v>
      </c>
      <c r="B191" s="74" t="s">
        <v>501</v>
      </c>
    </row>
    <row r="192" spans="1:2">
      <c r="A192" s="74" t="s">
        <v>502</v>
      </c>
      <c r="B192" s="74" t="s">
        <v>503</v>
      </c>
    </row>
    <row r="193" spans="1:2">
      <c r="A193" s="74" t="s">
        <v>504</v>
      </c>
      <c r="B193" s="74" t="s">
        <v>505</v>
      </c>
    </row>
    <row r="194" spans="1:2">
      <c r="A194" s="74" t="s">
        <v>506</v>
      </c>
      <c r="B194" s="74" t="s">
        <v>507</v>
      </c>
    </row>
    <row r="195" spans="1:2">
      <c r="A195" s="74" t="s">
        <v>508</v>
      </c>
      <c r="B195" s="74" t="s">
        <v>509</v>
      </c>
    </row>
    <row r="196" spans="1:2">
      <c r="A196" s="74" t="s">
        <v>510</v>
      </c>
      <c r="B196" s="74" t="s">
        <v>511</v>
      </c>
    </row>
    <row r="197" spans="1:2">
      <c r="A197" s="74" t="s">
        <v>512</v>
      </c>
      <c r="B197" s="74" t="s">
        <v>513</v>
      </c>
    </row>
    <row r="198" spans="1:2">
      <c r="A198" s="74" t="s">
        <v>514</v>
      </c>
      <c r="B198" s="74" t="s">
        <v>515</v>
      </c>
    </row>
    <row r="199" spans="1:2">
      <c r="A199" s="74" t="s">
        <v>516</v>
      </c>
      <c r="B199" s="74" t="s">
        <v>517</v>
      </c>
    </row>
    <row r="200" spans="1:2">
      <c r="A200" s="74" t="s">
        <v>518</v>
      </c>
      <c r="B200" s="74" t="s">
        <v>519</v>
      </c>
    </row>
    <row r="201" spans="1:2">
      <c r="A201" s="74" t="s">
        <v>520</v>
      </c>
      <c r="B201" s="74" t="s">
        <v>521</v>
      </c>
    </row>
    <row r="202" spans="1:2">
      <c r="A202" s="74" t="s">
        <v>522</v>
      </c>
      <c r="B202" s="74" t="s">
        <v>523</v>
      </c>
    </row>
    <row r="203" spans="1:2">
      <c r="A203" s="74" t="s">
        <v>524</v>
      </c>
      <c r="B203" s="74" t="s">
        <v>525</v>
      </c>
    </row>
    <row r="204" spans="1:2">
      <c r="A204" s="74" t="s">
        <v>526</v>
      </c>
      <c r="B204" s="74" t="s">
        <v>527</v>
      </c>
    </row>
    <row r="205" spans="1:2">
      <c r="A205" s="74" t="s">
        <v>528</v>
      </c>
      <c r="B205" s="74" t="s">
        <v>529</v>
      </c>
    </row>
    <row r="206" spans="1:2">
      <c r="A206" s="74" t="s">
        <v>530</v>
      </c>
      <c r="B206" s="74" t="s">
        <v>531</v>
      </c>
    </row>
    <row r="207" spans="1:2">
      <c r="A207" s="74" t="s">
        <v>532</v>
      </c>
      <c r="B207" s="74" t="s">
        <v>533</v>
      </c>
    </row>
    <row r="208" spans="1:2">
      <c r="A208" s="74" t="s">
        <v>534</v>
      </c>
      <c r="B208" s="74" t="s">
        <v>535</v>
      </c>
    </row>
    <row r="209" spans="1:2">
      <c r="A209" s="74" t="s">
        <v>536</v>
      </c>
      <c r="B209" s="74" t="s">
        <v>537</v>
      </c>
    </row>
    <row r="210" spans="1:2">
      <c r="A210" s="74" t="s">
        <v>538</v>
      </c>
      <c r="B210" s="74" t="s">
        <v>539</v>
      </c>
    </row>
    <row r="211" spans="1:2">
      <c r="A211" s="74" t="s">
        <v>540</v>
      </c>
      <c r="B211" s="74" t="s">
        <v>541</v>
      </c>
    </row>
    <row r="212" spans="1:2">
      <c r="A212" s="74" t="s">
        <v>542</v>
      </c>
      <c r="B212" s="74" t="s">
        <v>543</v>
      </c>
    </row>
    <row r="213" spans="1:2">
      <c r="A213" s="74" t="s">
        <v>544</v>
      </c>
      <c r="B213" s="74" t="s">
        <v>545</v>
      </c>
    </row>
    <row r="214" spans="1:2">
      <c r="A214" s="74" t="s">
        <v>546</v>
      </c>
      <c r="B214" s="74" t="s">
        <v>547</v>
      </c>
    </row>
    <row r="215" spans="1:2">
      <c r="A215" s="74" t="s">
        <v>548</v>
      </c>
      <c r="B215" s="74" t="s">
        <v>549</v>
      </c>
    </row>
    <row r="216" spans="1:2">
      <c r="A216" s="74" t="s">
        <v>550</v>
      </c>
      <c r="B216" s="74" t="s">
        <v>551</v>
      </c>
    </row>
    <row r="217" spans="1:2">
      <c r="A217" s="74" t="s">
        <v>552</v>
      </c>
      <c r="B217" s="74" t="s">
        <v>553</v>
      </c>
    </row>
    <row r="218" spans="1:2">
      <c r="A218" s="74" t="s">
        <v>554</v>
      </c>
      <c r="B218" s="74" t="s">
        <v>555</v>
      </c>
    </row>
    <row r="219" spans="1:2">
      <c r="A219" s="74" t="s">
        <v>556</v>
      </c>
      <c r="B219" s="74" t="s">
        <v>557</v>
      </c>
    </row>
    <row r="220" spans="1:2">
      <c r="A220" s="74" t="s">
        <v>558</v>
      </c>
      <c r="B220" s="74" t="s">
        <v>559</v>
      </c>
    </row>
    <row r="221" spans="1:2">
      <c r="A221" s="74" t="s">
        <v>560</v>
      </c>
      <c r="B221" s="74" t="s">
        <v>561</v>
      </c>
    </row>
    <row r="222" spans="1:2">
      <c r="A222" s="74" t="s">
        <v>562</v>
      </c>
      <c r="B222" s="74" t="s">
        <v>563</v>
      </c>
    </row>
    <row r="223" spans="1:2">
      <c r="A223" s="74" t="s">
        <v>564</v>
      </c>
      <c r="B223" s="74" t="s">
        <v>565</v>
      </c>
    </row>
    <row r="224" spans="1:2">
      <c r="A224" s="74" t="s">
        <v>566</v>
      </c>
      <c r="B224" s="74" t="s">
        <v>567</v>
      </c>
    </row>
    <row r="225" spans="1:2">
      <c r="A225" s="74" t="s">
        <v>568</v>
      </c>
      <c r="B225" s="74" t="s">
        <v>569</v>
      </c>
    </row>
    <row r="226" spans="1:2">
      <c r="A226" s="74" t="s">
        <v>570</v>
      </c>
      <c r="B226" s="74" t="s">
        <v>571</v>
      </c>
    </row>
    <row r="227" spans="1:2">
      <c r="A227" s="74" t="s">
        <v>572</v>
      </c>
      <c r="B227" s="74" t="s">
        <v>573</v>
      </c>
    </row>
    <row r="228" spans="1:2">
      <c r="A228" s="74" t="s">
        <v>574</v>
      </c>
      <c r="B228" s="74" t="s">
        <v>575</v>
      </c>
    </row>
    <row r="229" spans="1:2">
      <c r="A229" s="74" t="s">
        <v>576</v>
      </c>
      <c r="B229" s="74" t="s">
        <v>577</v>
      </c>
    </row>
    <row r="230" spans="1:2">
      <c r="A230" s="74" t="s">
        <v>578</v>
      </c>
      <c r="B230" s="74" t="s">
        <v>579</v>
      </c>
    </row>
    <row r="231" spans="1:2">
      <c r="A231" s="74" t="s">
        <v>580</v>
      </c>
      <c r="B231" s="74" t="s">
        <v>581</v>
      </c>
    </row>
    <row r="232" spans="1:2">
      <c r="A232" s="74" t="s">
        <v>582</v>
      </c>
      <c r="B232" s="74" t="s">
        <v>583</v>
      </c>
    </row>
    <row r="233" spans="1:2">
      <c r="A233" s="74" t="s">
        <v>584</v>
      </c>
      <c r="B233" s="74" t="s">
        <v>585</v>
      </c>
    </row>
    <row r="234" spans="1:2">
      <c r="A234" s="74" t="s">
        <v>586</v>
      </c>
      <c r="B234" s="74" t="s">
        <v>587</v>
      </c>
    </row>
    <row r="235" spans="1:2">
      <c r="A235" s="74" t="s">
        <v>588</v>
      </c>
      <c r="B235" s="74" t="s">
        <v>589</v>
      </c>
    </row>
    <row r="236" spans="1:2">
      <c r="A236" s="74" t="s">
        <v>590</v>
      </c>
      <c r="B236" s="74" t="s">
        <v>591</v>
      </c>
    </row>
    <row r="237" spans="1:2">
      <c r="A237" s="74" t="s">
        <v>592</v>
      </c>
      <c r="B237" s="74" t="s">
        <v>593</v>
      </c>
    </row>
    <row r="238" spans="1:2">
      <c r="A238" s="74" t="s">
        <v>594</v>
      </c>
      <c r="B238" s="74" t="s">
        <v>595</v>
      </c>
    </row>
    <row r="239" spans="1:2">
      <c r="A239" s="74" t="s">
        <v>596</v>
      </c>
      <c r="B239" s="74" t="s">
        <v>597</v>
      </c>
    </row>
    <row r="240" spans="1:2">
      <c r="A240" s="74" t="s">
        <v>598</v>
      </c>
      <c r="B240" s="74" t="s">
        <v>599</v>
      </c>
    </row>
    <row r="241" spans="1:2">
      <c r="A241" s="74" t="s">
        <v>600</v>
      </c>
      <c r="B241" s="74" t="s">
        <v>601</v>
      </c>
    </row>
    <row r="242" spans="1:2">
      <c r="A242" s="74" t="s">
        <v>602</v>
      </c>
      <c r="B242" s="74" t="s">
        <v>603</v>
      </c>
    </row>
    <row r="243" spans="1:2">
      <c r="A243" s="74" t="s">
        <v>604</v>
      </c>
      <c r="B243" s="74" t="s">
        <v>605</v>
      </c>
    </row>
    <row r="244" spans="1:2">
      <c r="A244" s="74" t="s">
        <v>606</v>
      </c>
      <c r="B244" s="74" t="s">
        <v>607</v>
      </c>
    </row>
    <row r="245" spans="1:2">
      <c r="A245" s="74" t="s">
        <v>608</v>
      </c>
      <c r="B245" s="74" t="s">
        <v>609</v>
      </c>
    </row>
    <row r="246" spans="1:2">
      <c r="A246" s="74" t="s">
        <v>610</v>
      </c>
      <c r="B246" s="74" t="s">
        <v>611</v>
      </c>
    </row>
    <row r="247" spans="1:2">
      <c r="A247" s="74" t="s">
        <v>612</v>
      </c>
      <c r="B247" s="74" t="s">
        <v>613</v>
      </c>
    </row>
    <row r="248" spans="1:2">
      <c r="A248" s="74" t="s">
        <v>614</v>
      </c>
      <c r="B248" s="74" t="s">
        <v>615</v>
      </c>
    </row>
    <row r="249" spans="1:2">
      <c r="A249" s="74" t="s">
        <v>616</v>
      </c>
      <c r="B249" s="74" t="s">
        <v>617</v>
      </c>
    </row>
    <row r="250" spans="1:2">
      <c r="A250" s="74" t="s">
        <v>618</v>
      </c>
      <c r="B250" s="74" t="s">
        <v>619</v>
      </c>
    </row>
    <row r="251" spans="1:2">
      <c r="A251" s="74" t="s">
        <v>620</v>
      </c>
      <c r="B251" s="74" t="s">
        <v>621</v>
      </c>
    </row>
    <row r="252" spans="1:2">
      <c r="A252" s="74" t="s">
        <v>622</v>
      </c>
      <c r="B252" s="74" t="s">
        <v>623</v>
      </c>
    </row>
    <row r="253" spans="1:2">
      <c r="A253" s="74" t="s">
        <v>624</v>
      </c>
      <c r="B253" s="74" t="s">
        <v>625</v>
      </c>
    </row>
    <row r="254" spans="1:2">
      <c r="A254" s="74" t="s">
        <v>626</v>
      </c>
      <c r="B254" s="74" t="s">
        <v>627</v>
      </c>
    </row>
    <row r="255" spans="1:2">
      <c r="A255" s="74" t="s">
        <v>628</v>
      </c>
      <c r="B255" s="74" t="s">
        <v>629</v>
      </c>
    </row>
    <row r="256" spans="1:2">
      <c r="A256" s="74" t="s">
        <v>630</v>
      </c>
      <c r="B256" s="74" t="s">
        <v>631</v>
      </c>
    </row>
    <row r="257" spans="1:2">
      <c r="A257" s="74" t="s">
        <v>632</v>
      </c>
      <c r="B257" s="74" t="s">
        <v>633</v>
      </c>
    </row>
    <row r="258" spans="1:2">
      <c r="A258" s="74" t="s">
        <v>634</v>
      </c>
      <c r="B258" s="74" t="s">
        <v>635</v>
      </c>
    </row>
    <row r="259" spans="1:2">
      <c r="A259" s="74" t="s">
        <v>636</v>
      </c>
      <c r="B259" s="74" t="s">
        <v>637</v>
      </c>
    </row>
    <row r="260" spans="1:2">
      <c r="A260" s="74" t="s">
        <v>638</v>
      </c>
      <c r="B260" s="74" t="s">
        <v>639</v>
      </c>
    </row>
    <row r="261" spans="1:2">
      <c r="A261" s="74" t="s">
        <v>640</v>
      </c>
      <c r="B261" s="74" t="s">
        <v>641</v>
      </c>
    </row>
    <row r="262" spans="1:2">
      <c r="A262" s="74" t="s">
        <v>642</v>
      </c>
      <c r="B262" s="74" t="s">
        <v>643</v>
      </c>
    </row>
    <row r="263" spans="1:2">
      <c r="A263" s="74" t="s">
        <v>644</v>
      </c>
      <c r="B263" s="74" t="s">
        <v>645</v>
      </c>
    </row>
    <row r="264" spans="1:2">
      <c r="A264" s="74" t="s">
        <v>646</v>
      </c>
      <c r="B264" s="74" t="s">
        <v>647</v>
      </c>
    </row>
    <row r="265" spans="1:2">
      <c r="A265" s="74" t="s">
        <v>648</v>
      </c>
      <c r="B265" s="74" t="s">
        <v>649</v>
      </c>
    </row>
    <row r="266" spans="1:2">
      <c r="A266" s="74" t="s">
        <v>650</v>
      </c>
      <c r="B266" s="74" t="s">
        <v>651</v>
      </c>
    </row>
    <row r="267" spans="1:2">
      <c r="A267" s="74" t="s">
        <v>652</v>
      </c>
      <c r="B267" s="74" t="s">
        <v>653</v>
      </c>
    </row>
    <row r="268" spans="1:2">
      <c r="A268" s="74" t="s">
        <v>654</v>
      </c>
      <c r="B268" s="74" t="s">
        <v>655</v>
      </c>
    </row>
    <row r="269" spans="1:2">
      <c r="A269" s="74" t="s">
        <v>656</v>
      </c>
      <c r="B269" s="74" t="s">
        <v>657</v>
      </c>
    </row>
    <row r="270" spans="1:2">
      <c r="A270" s="74" t="s">
        <v>658</v>
      </c>
      <c r="B270" s="74" t="s">
        <v>659</v>
      </c>
    </row>
    <row r="271" spans="1:2">
      <c r="A271" s="74" t="s">
        <v>660</v>
      </c>
      <c r="B271" s="74" t="s">
        <v>661</v>
      </c>
    </row>
    <row r="272" spans="1:2">
      <c r="A272" s="74" t="s">
        <v>662</v>
      </c>
      <c r="B272" s="74" t="s">
        <v>663</v>
      </c>
    </row>
    <row r="273" spans="1:2">
      <c r="A273" s="74" t="s">
        <v>664</v>
      </c>
      <c r="B273" s="74" t="s">
        <v>665</v>
      </c>
    </row>
    <row r="274" spans="1:2">
      <c r="A274" s="74" t="s">
        <v>666</v>
      </c>
      <c r="B274" s="74" t="s">
        <v>667</v>
      </c>
    </row>
    <row r="275" spans="1:2">
      <c r="A275" s="74" t="s">
        <v>668</v>
      </c>
      <c r="B275" s="74" t="s">
        <v>669</v>
      </c>
    </row>
    <row r="276" spans="1:2">
      <c r="A276" s="74" t="s">
        <v>670</v>
      </c>
      <c r="B276" s="74" t="s">
        <v>671</v>
      </c>
    </row>
    <row r="277" spans="1:2">
      <c r="A277" s="74" t="s">
        <v>672</v>
      </c>
      <c r="B277" s="74" t="s">
        <v>673</v>
      </c>
    </row>
    <row r="278" spans="1:2">
      <c r="A278" s="74" t="s">
        <v>674</v>
      </c>
      <c r="B278" s="74" t="s">
        <v>675</v>
      </c>
    </row>
    <row r="279" spans="1:2">
      <c r="A279" s="74" t="s">
        <v>676</v>
      </c>
      <c r="B279" s="74" t="s">
        <v>677</v>
      </c>
    </row>
    <row r="280" spans="1:2">
      <c r="A280" s="74" t="s">
        <v>678</v>
      </c>
      <c r="B280" s="74" t="s">
        <v>679</v>
      </c>
    </row>
    <row r="281" spans="1:2">
      <c r="A281" s="74" t="s">
        <v>680</v>
      </c>
      <c r="B281" s="74" t="s">
        <v>681</v>
      </c>
    </row>
    <row r="282" spans="1:2">
      <c r="A282" s="74" t="s">
        <v>682</v>
      </c>
      <c r="B282" s="74" t="s">
        <v>683</v>
      </c>
    </row>
    <row r="283" spans="1:2">
      <c r="A283" s="74" t="s">
        <v>684</v>
      </c>
      <c r="B283" s="74" t="s">
        <v>685</v>
      </c>
    </row>
    <row r="284" spans="1:2">
      <c r="A284" s="74" t="s">
        <v>686</v>
      </c>
      <c r="B284" s="74" t="s">
        <v>687</v>
      </c>
    </row>
    <row r="285" spans="1:2">
      <c r="A285" s="74" t="s">
        <v>688</v>
      </c>
      <c r="B285" s="74" t="s">
        <v>689</v>
      </c>
    </row>
    <row r="286" spans="1:2">
      <c r="A286" s="74" t="s">
        <v>690</v>
      </c>
      <c r="B286" s="74" t="s">
        <v>691</v>
      </c>
    </row>
    <row r="287" spans="1:2">
      <c r="A287" s="74" t="s">
        <v>692</v>
      </c>
      <c r="B287" s="74" t="s">
        <v>693</v>
      </c>
    </row>
    <row r="288" spans="1:2">
      <c r="A288" s="74" t="s">
        <v>694</v>
      </c>
      <c r="B288" s="74" t="s">
        <v>695</v>
      </c>
    </row>
    <row r="289" spans="1:2">
      <c r="A289" s="74" t="s">
        <v>696</v>
      </c>
      <c r="B289" s="74" t="s">
        <v>697</v>
      </c>
    </row>
    <row r="290" spans="1:2">
      <c r="A290" s="74" t="s">
        <v>698</v>
      </c>
      <c r="B290" s="74" t="s">
        <v>699</v>
      </c>
    </row>
    <row r="291" spans="1:2">
      <c r="A291" s="74" t="s">
        <v>700</v>
      </c>
      <c r="B291" s="74" t="s">
        <v>701</v>
      </c>
    </row>
    <row r="292" spans="1:2">
      <c r="A292" s="74" t="s">
        <v>702</v>
      </c>
      <c r="B292" s="74" t="s">
        <v>703</v>
      </c>
    </row>
    <row r="293" spans="1:2">
      <c r="A293" s="74" t="s">
        <v>704</v>
      </c>
      <c r="B293" s="74" t="s">
        <v>705</v>
      </c>
    </row>
    <row r="294" spans="1:2">
      <c r="A294" s="74" t="s">
        <v>706</v>
      </c>
      <c r="B294" s="74" t="s">
        <v>707</v>
      </c>
    </row>
    <row r="295" spans="1:2">
      <c r="A295" s="74" t="s">
        <v>708</v>
      </c>
      <c r="B295" s="74" t="s">
        <v>709</v>
      </c>
    </row>
    <row r="296" spans="1:2">
      <c r="A296" s="74" t="s">
        <v>710</v>
      </c>
      <c r="B296" s="74" t="s">
        <v>711</v>
      </c>
    </row>
    <row r="297" spans="1:2">
      <c r="A297" s="74" t="s">
        <v>712</v>
      </c>
      <c r="B297" s="74" t="s">
        <v>713</v>
      </c>
    </row>
    <row r="298" spans="1:2">
      <c r="A298" s="74" t="s">
        <v>714</v>
      </c>
      <c r="B298" s="74" t="s">
        <v>715</v>
      </c>
    </row>
    <row r="299" spans="1:2">
      <c r="A299" s="74" t="s">
        <v>716</v>
      </c>
      <c r="B299" s="74" t="s">
        <v>717</v>
      </c>
    </row>
    <row r="300" spans="1:2">
      <c r="A300" s="74" t="s">
        <v>718</v>
      </c>
      <c r="B300" s="74" t="s">
        <v>719</v>
      </c>
    </row>
    <row r="301" spans="1:2">
      <c r="A301" s="74" t="s">
        <v>720</v>
      </c>
      <c r="B301" s="74" t="s">
        <v>721</v>
      </c>
    </row>
    <row r="302" spans="1:2">
      <c r="A302" s="74" t="s">
        <v>722</v>
      </c>
      <c r="B302" s="74" t="s">
        <v>723</v>
      </c>
    </row>
    <row r="303" spans="1:2">
      <c r="A303" s="74" t="s">
        <v>724</v>
      </c>
      <c r="B303" s="74" t="s">
        <v>725</v>
      </c>
    </row>
    <row r="304" spans="1:2">
      <c r="A304" s="74" t="s">
        <v>726</v>
      </c>
      <c r="B304" s="74" t="s">
        <v>727</v>
      </c>
    </row>
    <row r="305" spans="1:2">
      <c r="A305" s="74" t="s">
        <v>728</v>
      </c>
      <c r="B305" s="74" t="s">
        <v>729</v>
      </c>
    </row>
    <row r="306" spans="1:2">
      <c r="A306" s="74" t="s">
        <v>730</v>
      </c>
      <c r="B306" s="74" t="s">
        <v>731</v>
      </c>
    </row>
    <row r="307" spans="1:2">
      <c r="A307" s="74" t="s">
        <v>732</v>
      </c>
      <c r="B307" s="74" t="s">
        <v>733</v>
      </c>
    </row>
    <row r="308" spans="1:2">
      <c r="A308" s="74" t="s">
        <v>734</v>
      </c>
      <c r="B308" s="74" t="s">
        <v>735</v>
      </c>
    </row>
    <row r="309" spans="1:2">
      <c r="A309" s="74" t="s">
        <v>736</v>
      </c>
      <c r="B309" s="74" t="s">
        <v>737</v>
      </c>
    </row>
    <row r="310" spans="1:2">
      <c r="A310" s="74" t="s">
        <v>738</v>
      </c>
      <c r="B310" s="74" t="s">
        <v>739</v>
      </c>
    </row>
    <row r="311" spans="1:2">
      <c r="A311" s="74" t="s">
        <v>740</v>
      </c>
      <c r="B311" s="74" t="s">
        <v>741</v>
      </c>
    </row>
    <row r="312" spans="1:2">
      <c r="A312" s="74" t="s">
        <v>742</v>
      </c>
      <c r="B312" s="74" t="s">
        <v>743</v>
      </c>
    </row>
    <row r="313" spans="1:2">
      <c r="A313" s="74" t="s">
        <v>744</v>
      </c>
      <c r="B313" s="74" t="s">
        <v>745</v>
      </c>
    </row>
    <row r="314" spans="1:2">
      <c r="A314" s="74" t="s">
        <v>746</v>
      </c>
      <c r="B314" s="74" t="s">
        <v>747</v>
      </c>
    </row>
    <row r="315" spans="1:2">
      <c r="A315" s="74" t="s">
        <v>748</v>
      </c>
      <c r="B315" s="74" t="s">
        <v>749</v>
      </c>
    </row>
    <row r="316" spans="1:2">
      <c r="A316" s="74" t="s">
        <v>750</v>
      </c>
      <c r="B316" s="74" t="s">
        <v>751</v>
      </c>
    </row>
    <row r="317" spans="1:2">
      <c r="A317" s="74" t="s">
        <v>752</v>
      </c>
      <c r="B317" s="74" t="s">
        <v>753</v>
      </c>
    </row>
    <row r="318" spans="1:2">
      <c r="A318" s="74" t="s">
        <v>754</v>
      </c>
      <c r="B318" s="74" t="s">
        <v>755</v>
      </c>
    </row>
    <row r="319" spans="1:2">
      <c r="A319" s="74" t="s">
        <v>756</v>
      </c>
      <c r="B319" s="74" t="s">
        <v>757</v>
      </c>
    </row>
    <row r="320" spans="1:2">
      <c r="A320" s="74" t="s">
        <v>758</v>
      </c>
      <c r="B320" s="74" t="s">
        <v>759</v>
      </c>
    </row>
    <row r="321" spans="1:2">
      <c r="A321" s="74" t="s">
        <v>760</v>
      </c>
      <c r="B321" s="74" t="s">
        <v>761</v>
      </c>
    </row>
    <row r="322" spans="1:2">
      <c r="A322" s="74" t="s">
        <v>762</v>
      </c>
      <c r="B322" s="74" t="s">
        <v>763</v>
      </c>
    </row>
    <row r="323" spans="1:2">
      <c r="A323" s="74" t="s">
        <v>764</v>
      </c>
      <c r="B323" s="74" t="s">
        <v>765</v>
      </c>
    </row>
    <row r="324" spans="1:2">
      <c r="A324" s="74" t="s">
        <v>766</v>
      </c>
      <c r="B324" s="74" t="s">
        <v>767</v>
      </c>
    </row>
    <row r="325" spans="1:2">
      <c r="A325" s="74" t="s">
        <v>768</v>
      </c>
      <c r="B325" s="74" t="s">
        <v>769</v>
      </c>
    </row>
    <row r="326" spans="1:2">
      <c r="A326" s="74" t="s">
        <v>770</v>
      </c>
      <c r="B326" s="74" t="s">
        <v>771</v>
      </c>
    </row>
    <row r="327" spans="1:2">
      <c r="A327" s="74" t="s">
        <v>772</v>
      </c>
      <c r="B327" s="74" t="s">
        <v>773</v>
      </c>
    </row>
    <row r="328" spans="1:2">
      <c r="A328" s="74" t="s">
        <v>774</v>
      </c>
      <c r="B328" s="74" t="s">
        <v>775</v>
      </c>
    </row>
    <row r="329" spans="1:2">
      <c r="A329" s="74" t="s">
        <v>776</v>
      </c>
      <c r="B329" s="74" t="s">
        <v>777</v>
      </c>
    </row>
    <row r="330" spans="1:2">
      <c r="A330" s="74" t="s">
        <v>778</v>
      </c>
      <c r="B330" s="74" t="s">
        <v>779</v>
      </c>
    </row>
    <row r="331" spans="1:2">
      <c r="A331" s="74" t="s">
        <v>780</v>
      </c>
      <c r="B331" s="74" t="s">
        <v>781</v>
      </c>
    </row>
    <row r="332" spans="1:2">
      <c r="A332" s="74" t="s">
        <v>782</v>
      </c>
      <c r="B332" s="74" t="s">
        <v>783</v>
      </c>
    </row>
    <row r="333" spans="1:2">
      <c r="A333" s="74" t="s">
        <v>784</v>
      </c>
      <c r="B333" s="74" t="s">
        <v>785</v>
      </c>
    </row>
    <row r="334" spans="1:2">
      <c r="A334" s="74" t="s">
        <v>786</v>
      </c>
      <c r="B334" s="74" t="s">
        <v>787</v>
      </c>
    </row>
    <row r="335" spans="1:2">
      <c r="A335" s="74" t="s">
        <v>788</v>
      </c>
      <c r="B335" s="74" t="s">
        <v>789</v>
      </c>
    </row>
    <row r="336" spans="1:2">
      <c r="A336" s="74" t="s">
        <v>790</v>
      </c>
      <c r="B336" s="74" t="s">
        <v>791</v>
      </c>
    </row>
    <row r="337" spans="1:2">
      <c r="A337" s="74" t="s">
        <v>792</v>
      </c>
      <c r="B337" s="74" t="s">
        <v>793</v>
      </c>
    </row>
    <row r="338" spans="1:2">
      <c r="A338" s="74" t="s">
        <v>794</v>
      </c>
      <c r="B338" s="74" t="s">
        <v>795</v>
      </c>
    </row>
    <row r="339" spans="1:2">
      <c r="A339" s="74" t="s">
        <v>796</v>
      </c>
      <c r="B339" s="74" t="s">
        <v>797</v>
      </c>
    </row>
    <row r="340" spans="1:2">
      <c r="A340" s="74" t="s">
        <v>798</v>
      </c>
      <c r="B340" s="74" t="s">
        <v>799</v>
      </c>
    </row>
    <row r="341" spans="1:2">
      <c r="A341" s="74" t="s">
        <v>800</v>
      </c>
      <c r="B341" s="74" t="s">
        <v>801</v>
      </c>
    </row>
    <row r="342" spans="1:2">
      <c r="A342" s="74" t="s">
        <v>802</v>
      </c>
      <c r="B342" s="74" t="s">
        <v>803</v>
      </c>
    </row>
    <row r="343" spans="1:2">
      <c r="A343" s="74" t="s">
        <v>804</v>
      </c>
      <c r="B343" s="74" t="s">
        <v>805</v>
      </c>
    </row>
    <row r="344" spans="1:2">
      <c r="A344" s="74" t="s">
        <v>806</v>
      </c>
      <c r="B344" s="74" t="s">
        <v>807</v>
      </c>
    </row>
    <row r="345" spans="1:2">
      <c r="A345" s="74" t="s">
        <v>808</v>
      </c>
      <c r="B345" s="74" t="s">
        <v>809</v>
      </c>
    </row>
    <row r="346" spans="1:2">
      <c r="A346" s="74" t="s">
        <v>810</v>
      </c>
      <c r="B346" s="74" t="s">
        <v>811</v>
      </c>
    </row>
    <row r="347" spans="1:2">
      <c r="A347" s="74" t="s">
        <v>812</v>
      </c>
      <c r="B347" s="74" t="s">
        <v>813</v>
      </c>
    </row>
    <row r="348" spans="1:2">
      <c r="A348" s="74" t="s">
        <v>814</v>
      </c>
      <c r="B348" s="74" t="s">
        <v>815</v>
      </c>
    </row>
    <row r="349" spans="1:2">
      <c r="A349" s="74" t="s">
        <v>816</v>
      </c>
      <c r="B349" s="74" t="s">
        <v>817</v>
      </c>
    </row>
    <row r="350" spans="1:2">
      <c r="A350" s="74" t="s">
        <v>818</v>
      </c>
      <c r="B350" s="74" t="s">
        <v>819</v>
      </c>
    </row>
    <row r="351" spans="1:2">
      <c r="A351" s="74" t="s">
        <v>820</v>
      </c>
      <c r="B351" s="74" t="s">
        <v>821</v>
      </c>
    </row>
    <row r="352" spans="1:2">
      <c r="A352" s="74" t="s">
        <v>822</v>
      </c>
      <c r="B352" s="74" t="s">
        <v>823</v>
      </c>
    </row>
    <row r="353" spans="1:2">
      <c r="A353" s="74" t="s">
        <v>824</v>
      </c>
      <c r="B353" s="74" t="s">
        <v>825</v>
      </c>
    </row>
    <row r="354" spans="1:2">
      <c r="A354" s="74" t="s">
        <v>826</v>
      </c>
      <c r="B354" s="74" t="s">
        <v>827</v>
      </c>
    </row>
    <row r="355" spans="1:2">
      <c r="A355" s="74" t="s">
        <v>828</v>
      </c>
      <c r="B355" s="74" t="s">
        <v>829</v>
      </c>
    </row>
    <row r="356" spans="1:2">
      <c r="A356" s="74" t="s">
        <v>830</v>
      </c>
      <c r="B356" s="74" t="s">
        <v>831</v>
      </c>
    </row>
    <row r="357" spans="1:2">
      <c r="A357" s="74" t="s">
        <v>832</v>
      </c>
      <c r="B357" s="74" t="s">
        <v>833</v>
      </c>
    </row>
    <row r="358" spans="1:2">
      <c r="A358" s="74" t="s">
        <v>834</v>
      </c>
      <c r="B358" s="74" t="s">
        <v>835</v>
      </c>
    </row>
    <row r="359" spans="1:2">
      <c r="A359" s="74" t="s">
        <v>836</v>
      </c>
      <c r="B359" s="74" t="s">
        <v>837</v>
      </c>
    </row>
    <row r="360" spans="1:2">
      <c r="A360" s="74" t="s">
        <v>838</v>
      </c>
      <c r="B360" s="74" t="s">
        <v>839</v>
      </c>
    </row>
    <row r="361" spans="1:2">
      <c r="A361" s="74" t="s">
        <v>840</v>
      </c>
      <c r="B361" s="74" t="s">
        <v>841</v>
      </c>
    </row>
    <row r="362" spans="1:2">
      <c r="A362" s="74" t="s">
        <v>842</v>
      </c>
      <c r="B362" s="74" t="s">
        <v>843</v>
      </c>
    </row>
    <row r="363" spans="1:2">
      <c r="A363" s="74" t="s">
        <v>844</v>
      </c>
      <c r="B363" s="74" t="s">
        <v>845</v>
      </c>
    </row>
    <row r="364" spans="1:2">
      <c r="A364" s="74" t="s">
        <v>846</v>
      </c>
      <c r="B364" s="74" t="s">
        <v>847</v>
      </c>
    </row>
    <row r="365" spans="1:2">
      <c r="A365" s="74" t="s">
        <v>848</v>
      </c>
      <c r="B365" s="74" t="s">
        <v>849</v>
      </c>
    </row>
    <row r="366" spans="1:2">
      <c r="A366" s="74" t="s">
        <v>850</v>
      </c>
      <c r="B366" s="74" t="s">
        <v>851</v>
      </c>
    </row>
    <row r="367" spans="1:2">
      <c r="A367" s="74" t="s">
        <v>852</v>
      </c>
      <c r="B367" s="74" t="s">
        <v>853</v>
      </c>
    </row>
    <row r="368" spans="1:2">
      <c r="A368" s="74" t="s">
        <v>854</v>
      </c>
      <c r="B368" s="74" t="s">
        <v>855</v>
      </c>
    </row>
    <row r="369" spans="1:2">
      <c r="A369" s="74" t="s">
        <v>856</v>
      </c>
      <c r="B369" s="74" t="s">
        <v>857</v>
      </c>
    </row>
    <row r="370" spans="1:2">
      <c r="A370" s="74" t="s">
        <v>858</v>
      </c>
      <c r="B370" s="74" t="s">
        <v>859</v>
      </c>
    </row>
    <row r="371" spans="1:2">
      <c r="A371" s="74" t="s">
        <v>860</v>
      </c>
      <c r="B371" s="74" t="s">
        <v>861</v>
      </c>
    </row>
    <row r="372" spans="1:2">
      <c r="A372" s="74" t="s">
        <v>862</v>
      </c>
      <c r="B372" s="74" t="s">
        <v>863</v>
      </c>
    </row>
    <row r="373" spans="1:2">
      <c r="A373" s="74" t="s">
        <v>864</v>
      </c>
      <c r="B373" s="74" t="s">
        <v>865</v>
      </c>
    </row>
    <row r="374" spans="1:2">
      <c r="A374" s="74" t="s">
        <v>866</v>
      </c>
      <c r="B374" s="74" t="s">
        <v>867</v>
      </c>
    </row>
    <row r="375" spans="1:2">
      <c r="A375" s="74" t="s">
        <v>868</v>
      </c>
      <c r="B375" s="74" t="s">
        <v>869</v>
      </c>
    </row>
    <row r="376" spans="1:2">
      <c r="A376" s="74" t="s">
        <v>870</v>
      </c>
      <c r="B376" s="74" t="s">
        <v>871</v>
      </c>
    </row>
    <row r="377" spans="1:2">
      <c r="A377" s="74" t="s">
        <v>872</v>
      </c>
      <c r="B377" s="74" t="s">
        <v>873</v>
      </c>
    </row>
    <row r="378" spans="1:2">
      <c r="A378" s="74" t="s">
        <v>874</v>
      </c>
      <c r="B378" s="74" t="s">
        <v>875</v>
      </c>
    </row>
    <row r="379" spans="1:2">
      <c r="A379" s="74" t="s">
        <v>876</v>
      </c>
      <c r="B379" s="74" t="s">
        <v>877</v>
      </c>
    </row>
    <row r="380" spans="1:2">
      <c r="A380" s="74" t="s">
        <v>878</v>
      </c>
      <c r="B380" s="74" t="s">
        <v>879</v>
      </c>
    </row>
    <row r="381" spans="1:2">
      <c r="A381" s="74" t="s">
        <v>880</v>
      </c>
      <c r="B381" s="74" t="s">
        <v>881</v>
      </c>
    </row>
    <row r="382" spans="1:2">
      <c r="A382" s="74" t="s">
        <v>882</v>
      </c>
      <c r="B382" s="74" t="s">
        <v>883</v>
      </c>
    </row>
    <row r="383" spans="1:2">
      <c r="A383" s="74" t="s">
        <v>884</v>
      </c>
      <c r="B383" s="74" t="s">
        <v>885</v>
      </c>
    </row>
    <row r="384" spans="1:2">
      <c r="A384" s="74" t="s">
        <v>886</v>
      </c>
      <c r="B384" s="74" t="s">
        <v>887</v>
      </c>
    </row>
    <row r="385" spans="1:2">
      <c r="A385" s="74" t="s">
        <v>888</v>
      </c>
      <c r="B385" s="74" t="s">
        <v>889</v>
      </c>
    </row>
    <row r="386" spans="1:2">
      <c r="A386" s="74" t="s">
        <v>890</v>
      </c>
      <c r="B386" s="74" t="s">
        <v>891</v>
      </c>
    </row>
    <row r="387" spans="1:2">
      <c r="A387" s="74" t="s">
        <v>892</v>
      </c>
      <c r="B387" s="74" t="s">
        <v>893</v>
      </c>
    </row>
    <row r="388" spans="1:2">
      <c r="A388" s="74" t="s">
        <v>894</v>
      </c>
      <c r="B388" s="74" t="s">
        <v>895</v>
      </c>
    </row>
    <row r="389" spans="1:2">
      <c r="A389" s="74" t="s">
        <v>896</v>
      </c>
      <c r="B389" s="74" t="s">
        <v>897</v>
      </c>
    </row>
    <row r="390" spans="1:2">
      <c r="A390" s="74" t="s">
        <v>898</v>
      </c>
      <c r="B390" s="74" t="s">
        <v>899</v>
      </c>
    </row>
    <row r="391" spans="1:2">
      <c r="A391" s="74" t="s">
        <v>900</v>
      </c>
      <c r="B391" s="74" t="s">
        <v>901</v>
      </c>
    </row>
    <row r="392" spans="1:2">
      <c r="A392" s="74" t="s">
        <v>902</v>
      </c>
      <c r="B392" s="74" t="s">
        <v>903</v>
      </c>
    </row>
    <row r="393" spans="1:2">
      <c r="A393" s="74" t="s">
        <v>904</v>
      </c>
      <c r="B393" s="74" t="s">
        <v>905</v>
      </c>
    </row>
    <row r="394" spans="1:2">
      <c r="A394" s="74" t="s">
        <v>906</v>
      </c>
      <c r="B394" s="74" t="s">
        <v>907</v>
      </c>
    </row>
    <row r="395" spans="1:2">
      <c r="A395" s="74" t="s">
        <v>908</v>
      </c>
      <c r="B395" s="74" t="s">
        <v>909</v>
      </c>
    </row>
    <row r="396" spans="1:2">
      <c r="A396" s="74" t="s">
        <v>910</v>
      </c>
      <c r="B396" s="74" t="s">
        <v>911</v>
      </c>
    </row>
    <row r="397" spans="1:2">
      <c r="A397" s="74" t="s">
        <v>912</v>
      </c>
      <c r="B397" s="74" t="s">
        <v>913</v>
      </c>
    </row>
    <row r="398" spans="1:2">
      <c r="A398" s="74" t="s">
        <v>914</v>
      </c>
      <c r="B398" s="74" t="s">
        <v>915</v>
      </c>
    </row>
    <row r="399" spans="1:2">
      <c r="A399" s="74" t="s">
        <v>916</v>
      </c>
      <c r="B399" s="74" t="s">
        <v>917</v>
      </c>
    </row>
    <row r="400" spans="1:2">
      <c r="A400" s="74" t="s">
        <v>918</v>
      </c>
      <c r="B400" s="74" t="s">
        <v>919</v>
      </c>
    </row>
    <row r="401" spans="1:2">
      <c r="A401" s="74" t="s">
        <v>920</v>
      </c>
      <c r="B401" s="74" t="s">
        <v>921</v>
      </c>
    </row>
    <row r="402" spans="1:2">
      <c r="A402" s="74" t="s">
        <v>922</v>
      </c>
      <c r="B402" s="74" t="s">
        <v>923</v>
      </c>
    </row>
    <row r="403" spans="1:2">
      <c r="A403" s="74" t="s">
        <v>924</v>
      </c>
      <c r="B403" s="74" t="s">
        <v>925</v>
      </c>
    </row>
    <row r="404" spans="1:2">
      <c r="A404" s="74" t="s">
        <v>926</v>
      </c>
      <c r="B404" s="74" t="s">
        <v>927</v>
      </c>
    </row>
    <row r="405" spans="1:2">
      <c r="A405" s="74" t="s">
        <v>928</v>
      </c>
      <c r="B405" s="74" t="s">
        <v>929</v>
      </c>
    </row>
    <row r="406" spans="1:2">
      <c r="A406" s="74" t="s">
        <v>930</v>
      </c>
      <c r="B406" s="74" t="s">
        <v>931</v>
      </c>
    </row>
    <row r="407" spans="1:2">
      <c r="A407" s="74" t="s">
        <v>932</v>
      </c>
      <c r="B407" s="74" t="s">
        <v>933</v>
      </c>
    </row>
    <row r="408" spans="1:2">
      <c r="A408" s="74" t="s">
        <v>934</v>
      </c>
      <c r="B408" s="74" t="s">
        <v>935</v>
      </c>
    </row>
    <row r="409" spans="1:2">
      <c r="A409" s="74" t="s">
        <v>936</v>
      </c>
      <c r="B409" s="74" t="s">
        <v>937</v>
      </c>
    </row>
    <row r="410" spans="1:2">
      <c r="A410" s="74" t="s">
        <v>938</v>
      </c>
      <c r="B410" s="74" t="s">
        <v>939</v>
      </c>
    </row>
    <row r="411" spans="1:2">
      <c r="A411" s="74" t="s">
        <v>940</v>
      </c>
      <c r="B411" s="74" t="s">
        <v>941</v>
      </c>
    </row>
    <row r="412" spans="1:2">
      <c r="A412" s="74" t="s">
        <v>942</v>
      </c>
      <c r="B412" s="74" t="s">
        <v>943</v>
      </c>
    </row>
    <row r="413" spans="1:2">
      <c r="A413" s="74" t="s">
        <v>944</v>
      </c>
      <c r="B413" s="74" t="s">
        <v>945</v>
      </c>
    </row>
    <row r="414" spans="1:2">
      <c r="A414" s="74" t="s">
        <v>946</v>
      </c>
      <c r="B414" s="74" t="s">
        <v>947</v>
      </c>
    </row>
    <row r="415" spans="1:2">
      <c r="A415" s="74" t="s">
        <v>948</v>
      </c>
      <c r="B415" s="74" t="s">
        <v>949</v>
      </c>
    </row>
    <row r="416" spans="1:2">
      <c r="A416" s="74" t="s">
        <v>950</v>
      </c>
      <c r="B416" s="74" t="s">
        <v>951</v>
      </c>
    </row>
    <row r="417" spans="1:2">
      <c r="A417" s="74" t="s">
        <v>952</v>
      </c>
      <c r="B417" s="74" t="s">
        <v>953</v>
      </c>
    </row>
    <row r="418" spans="1:2">
      <c r="A418" s="74" t="s">
        <v>954</v>
      </c>
      <c r="B418" s="74" t="s">
        <v>955</v>
      </c>
    </row>
    <row r="419" spans="1:2">
      <c r="A419" s="74" t="s">
        <v>956</v>
      </c>
      <c r="B419" s="74" t="s">
        <v>957</v>
      </c>
    </row>
    <row r="420" spans="1:2">
      <c r="A420" s="74" t="s">
        <v>958</v>
      </c>
      <c r="B420" s="74" t="s">
        <v>959</v>
      </c>
    </row>
    <row r="421" spans="1:2">
      <c r="A421" s="74" t="s">
        <v>960</v>
      </c>
      <c r="B421" s="74" t="s">
        <v>961</v>
      </c>
    </row>
    <row r="422" spans="1:2">
      <c r="A422" s="74" t="s">
        <v>962</v>
      </c>
      <c r="B422" s="74" t="s">
        <v>963</v>
      </c>
    </row>
    <row r="423" spans="1:2">
      <c r="A423" s="74" t="s">
        <v>964</v>
      </c>
      <c r="B423" s="74" t="s">
        <v>965</v>
      </c>
    </row>
    <row r="424" spans="1:2">
      <c r="A424" s="74" t="s">
        <v>966</v>
      </c>
      <c r="B424" s="74" t="s">
        <v>967</v>
      </c>
    </row>
    <row r="425" spans="1:2">
      <c r="A425" s="74" t="s">
        <v>968</v>
      </c>
      <c r="B425" s="74" t="s">
        <v>969</v>
      </c>
    </row>
    <row r="426" spans="1:2">
      <c r="A426" s="74" t="s">
        <v>970</v>
      </c>
      <c r="B426" s="74" t="s">
        <v>971</v>
      </c>
    </row>
    <row r="427" spans="1:2">
      <c r="A427" s="74" t="s">
        <v>972</v>
      </c>
      <c r="B427" s="74" t="s">
        <v>973</v>
      </c>
    </row>
    <row r="428" spans="1:2">
      <c r="A428" s="74" t="s">
        <v>974</v>
      </c>
      <c r="B428" s="74" t="s">
        <v>975</v>
      </c>
    </row>
    <row r="429" spans="1:2">
      <c r="A429" s="74" t="s">
        <v>976</v>
      </c>
      <c r="B429" s="74" t="s">
        <v>977</v>
      </c>
    </row>
    <row r="430" spans="1:2">
      <c r="A430" s="74" t="s">
        <v>978</v>
      </c>
      <c r="B430" s="74" t="s">
        <v>979</v>
      </c>
    </row>
    <row r="431" spans="1:2">
      <c r="A431" s="74" t="s">
        <v>980</v>
      </c>
      <c r="B431" s="74" t="s">
        <v>981</v>
      </c>
    </row>
    <row r="432" spans="1:2">
      <c r="A432" s="74" t="s">
        <v>982</v>
      </c>
      <c r="B432" s="74" t="s">
        <v>983</v>
      </c>
    </row>
    <row r="433" spans="1:2">
      <c r="A433" s="74" t="s">
        <v>984</v>
      </c>
      <c r="B433" s="74" t="s">
        <v>985</v>
      </c>
    </row>
    <row r="434" spans="1:2">
      <c r="A434" s="74" t="s">
        <v>986</v>
      </c>
      <c r="B434" s="74" t="s">
        <v>987</v>
      </c>
    </row>
    <row r="435" spans="1:2">
      <c r="A435" s="74" t="s">
        <v>988</v>
      </c>
      <c r="B435" s="74" t="s">
        <v>989</v>
      </c>
    </row>
    <row r="436" spans="1:2">
      <c r="A436" s="74" t="s">
        <v>990</v>
      </c>
      <c r="B436" s="74" t="s">
        <v>991</v>
      </c>
    </row>
    <row r="437" spans="1:2">
      <c r="A437" s="74" t="s">
        <v>992</v>
      </c>
      <c r="B437" s="74" t="s">
        <v>993</v>
      </c>
    </row>
    <row r="438" spans="1:2">
      <c r="A438" s="74" t="s">
        <v>994</v>
      </c>
      <c r="B438" s="74" t="s">
        <v>995</v>
      </c>
    </row>
    <row r="439" spans="1:2">
      <c r="A439" s="74" t="s">
        <v>996</v>
      </c>
      <c r="B439" s="74" t="s">
        <v>997</v>
      </c>
    </row>
    <row r="440" spans="1:2">
      <c r="A440" s="74" t="s">
        <v>998</v>
      </c>
      <c r="B440" s="74" t="s">
        <v>999</v>
      </c>
    </row>
    <row r="441" spans="1:2">
      <c r="A441" s="74" t="s">
        <v>1000</v>
      </c>
      <c r="B441" s="74" t="s">
        <v>1001</v>
      </c>
    </row>
    <row r="442" spans="1:2">
      <c r="A442" s="74" t="s">
        <v>1002</v>
      </c>
      <c r="B442" s="74" t="s">
        <v>1003</v>
      </c>
    </row>
    <row r="443" spans="1:2">
      <c r="A443" s="74" t="s">
        <v>1004</v>
      </c>
      <c r="B443" s="74" t="s">
        <v>1005</v>
      </c>
    </row>
    <row r="444" spans="1:2">
      <c r="A444" s="74" t="s">
        <v>1006</v>
      </c>
      <c r="B444" s="74" t="s">
        <v>1007</v>
      </c>
    </row>
    <row r="445" spans="1:2">
      <c r="A445" s="74" t="s">
        <v>1008</v>
      </c>
      <c r="B445" s="74" t="s">
        <v>1009</v>
      </c>
    </row>
    <row r="446" spans="1:2">
      <c r="A446" s="74" t="s">
        <v>1010</v>
      </c>
      <c r="B446" s="74" t="s">
        <v>1011</v>
      </c>
    </row>
    <row r="447" spans="1:2">
      <c r="A447" s="74" t="s">
        <v>1012</v>
      </c>
      <c r="B447" s="74" t="s">
        <v>1013</v>
      </c>
    </row>
    <row r="448" spans="1:2">
      <c r="A448" s="74" t="s">
        <v>1014</v>
      </c>
      <c r="B448" s="74" t="s">
        <v>1015</v>
      </c>
    </row>
    <row r="449" spans="1:2">
      <c r="A449" s="74" t="s">
        <v>1016</v>
      </c>
      <c r="B449" s="74" t="s">
        <v>1017</v>
      </c>
    </row>
    <row r="450" spans="1:2">
      <c r="A450" s="74" t="s">
        <v>1018</v>
      </c>
      <c r="B450" s="74" t="s">
        <v>1019</v>
      </c>
    </row>
    <row r="451" spans="1:2">
      <c r="A451" s="74" t="s">
        <v>1020</v>
      </c>
      <c r="B451" s="74" t="s">
        <v>1021</v>
      </c>
    </row>
    <row r="452" spans="1:2">
      <c r="A452" s="74" t="s">
        <v>1022</v>
      </c>
      <c r="B452" s="74" t="s">
        <v>1023</v>
      </c>
    </row>
    <row r="453" spans="1:2">
      <c r="A453" s="74" t="s">
        <v>1024</v>
      </c>
      <c r="B453" s="74" t="s">
        <v>1025</v>
      </c>
    </row>
    <row r="454" spans="1:2">
      <c r="A454" s="74" t="s">
        <v>1026</v>
      </c>
      <c r="B454" s="74" t="s">
        <v>1027</v>
      </c>
    </row>
    <row r="455" spans="1:2">
      <c r="A455" s="74" t="s">
        <v>1028</v>
      </c>
      <c r="B455" s="74" t="s">
        <v>1029</v>
      </c>
    </row>
    <row r="456" spans="1:2">
      <c r="A456" s="74" t="s">
        <v>1030</v>
      </c>
      <c r="B456" s="74" t="s">
        <v>1031</v>
      </c>
    </row>
    <row r="457" spans="1:2">
      <c r="A457" s="74" t="s">
        <v>1032</v>
      </c>
      <c r="B457" s="74" t="s">
        <v>1033</v>
      </c>
    </row>
    <row r="458" spans="1:2">
      <c r="A458" s="74" t="s">
        <v>1034</v>
      </c>
      <c r="B458" s="74" t="s">
        <v>1035</v>
      </c>
    </row>
    <row r="459" spans="1:2">
      <c r="A459" s="74" t="s">
        <v>1036</v>
      </c>
      <c r="B459" s="74" t="s">
        <v>1037</v>
      </c>
    </row>
    <row r="460" spans="1:2">
      <c r="A460" s="74" t="s">
        <v>1038</v>
      </c>
      <c r="B460" s="74" t="s">
        <v>1039</v>
      </c>
    </row>
    <row r="461" spans="1:2">
      <c r="A461" s="74" t="s">
        <v>1040</v>
      </c>
      <c r="B461" s="74" t="s">
        <v>1041</v>
      </c>
    </row>
    <row r="462" spans="1:2">
      <c r="A462" s="74" t="s">
        <v>1042</v>
      </c>
      <c r="B462" s="74" t="s">
        <v>1043</v>
      </c>
    </row>
    <row r="463" spans="1:2">
      <c r="A463" s="74" t="s">
        <v>1044</v>
      </c>
      <c r="B463" s="74" t="s">
        <v>387</v>
      </c>
    </row>
    <row r="464" spans="1:2">
      <c r="A464" s="74" t="s">
        <v>1045</v>
      </c>
      <c r="B464" s="74" t="s">
        <v>1046</v>
      </c>
    </row>
    <row r="465" spans="1:2">
      <c r="A465" s="74" t="s">
        <v>1047</v>
      </c>
      <c r="B465" s="74" t="s">
        <v>1048</v>
      </c>
    </row>
    <row r="466" spans="1:2">
      <c r="A466" s="74" t="s">
        <v>1049</v>
      </c>
      <c r="B466" s="74" t="s">
        <v>1050</v>
      </c>
    </row>
    <row r="467" spans="1:2">
      <c r="A467" s="74" t="s">
        <v>1051</v>
      </c>
      <c r="B467" s="74" t="s">
        <v>1052</v>
      </c>
    </row>
    <row r="468" spans="1:2">
      <c r="A468" s="74" t="s">
        <v>1053</v>
      </c>
      <c r="B468" s="74" t="s">
        <v>1054</v>
      </c>
    </row>
    <row r="469" spans="1:2">
      <c r="A469" s="74" t="s">
        <v>1055</v>
      </c>
      <c r="B469" s="74" t="s">
        <v>1056</v>
      </c>
    </row>
    <row r="470" spans="1:2">
      <c r="A470" s="74" t="s">
        <v>1057</v>
      </c>
      <c r="B470" s="74" t="s">
        <v>1058</v>
      </c>
    </row>
    <row r="471" spans="1:2">
      <c r="A471" s="74" t="s">
        <v>1059</v>
      </c>
      <c r="B471" s="74" t="s">
        <v>1060</v>
      </c>
    </row>
    <row r="472" spans="1:2">
      <c r="A472" s="74" t="s">
        <v>1061</v>
      </c>
      <c r="B472" s="74" t="s">
        <v>1062</v>
      </c>
    </row>
    <row r="473" spans="1:2">
      <c r="A473" s="74" t="s">
        <v>1063</v>
      </c>
      <c r="B473" s="74" t="s">
        <v>1064</v>
      </c>
    </row>
    <row r="474" spans="1:2">
      <c r="A474" s="74" t="s">
        <v>1065</v>
      </c>
      <c r="B474" s="74" t="s">
        <v>1066</v>
      </c>
    </row>
    <row r="475" spans="1:2">
      <c r="A475" s="74" t="s">
        <v>1067</v>
      </c>
      <c r="B475" s="74" t="s">
        <v>1068</v>
      </c>
    </row>
    <row r="476" spans="1:2">
      <c r="A476" s="74" t="s">
        <v>1069</v>
      </c>
      <c r="B476" s="74" t="s">
        <v>1070</v>
      </c>
    </row>
    <row r="477" spans="1:2">
      <c r="A477" s="74" t="s">
        <v>1071</v>
      </c>
      <c r="B477" s="74" t="s">
        <v>1072</v>
      </c>
    </row>
    <row r="478" spans="1:2">
      <c r="A478" s="74" t="s">
        <v>1073</v>
      </c>
      <c r="B478" s="74" t="s">
        <v>1074</v>
      </c>
    </row>
    <row r="479" spans="1:2">
      <c r="A479" s="74" t="s">
        <v>1075</v>
      </c>
      <c r="B479" s="74" t="s">
        <v>1076</v>
      </c>
    </row>
    <row r="480" spans="1:2">
      <c r="A480" s="74" t="s">
        <v>1077</v>
      </c>
      <c r="B480" s="74" t="s">
        <v>1078</v>
      </c>
    </row>
    <row r="481" spans="1:2">
      <c r="A481" s="74" t="s">
        <v>1079</v>
      </c>
      <c r="B481" s="74" t="s">
        <v>1080</v>
      </c>
    </row>
    <row r="482" spans="1:2">
      <c r="A482" s="74" t="s">
        <v>1081</v>
      </c>
      <c r="B482" s="74" t="s">
        <v>1082</v>
      </c>
    </row>
    <row r="483" spans="1:2">
      <c r="A483" s="31" t="s">
        <v>1083</v>
      </c>
      <c r="B483" s="31" t="s">
        <v>1084</v>
      </c>
    </row>
  </sheetData>
  <sheetProtection algorithmName="SHA-512" hashValue="9281OIjuFYgGpalc6PpVAlk8tqAC7tUeat36J+rLxfgA9H/r0XMRtj/K7MKeAGeupvpYdSN+SDFwraIihX6fDQ==" saltValue="j9GEvbXDnWwUNi9688rJPw==" spinCount="100000" sheet="1" objects="1" scenarios="1"/>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dcterms:created xsi:type="dcterms:W3CDTF">2022-01-18T10:14:14Z</dcterms:created>
  <dcterms:modified xsi:type="dcterms:W3CDTF">2026-01-27T06:32:53Z</dcterms:modified>
  <cp:category/>
  <cp:contentStatus/>
</cp:coreProperties>
</file>