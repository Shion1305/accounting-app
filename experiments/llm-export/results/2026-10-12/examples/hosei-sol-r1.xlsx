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bookViews>
    <workbookView xWindow="-108" yWindow="-108" windowWidth="23256" windowHeight="12456" tabRatio="655" activeTab="1" xr2:uid="{00000000-000D-0000-FFFF-FFFF00000000}"/>
  </bookViews>
  <sheets>
    <sheet name="入力例" sheetId="42" r:id="rId1"/>
    <sheet name="費目詳細" sheetId="43" r:id="rId2"/>
  </sheets>
  <definedNames>
    <definedName name="_xlnm.Print_Area" localSheetId="0">入力例!$A$3:$AG$51</definedName>
    <definedName name="_xlnm.Print_Titles" localSheetId="0">入力例!$3:$5</definedName>
    <definedName name="_xlnm.Print_Titles" localSheetId="1">費目詳細!$1:$3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8" i="43" l="1"/>
  <c r="J107" i="43"/>
  <c r="I107" i="43"/>
  <c r="E106" i="43"/>
  <c r="J104" i="43"/>
  <c r="I104" i="43"/>
  <c r="E103" i="43"/>
  <c r="J101" i="43"/>
  <c r="I101" i="43"/>
  <c r="E100" i="43"/>
  <c r="J98" i="43"/>
  <c r="I98" i="43"/>
  <c r="E97" i="43"/>
  <c r="E94" i="43"/>
  <c r="J92" i="43"/>
  <c r="I92" i="43"/>
  <c r="E91" i="43"/>
  <c r="J89" i="43"/>
  <c r="I89" i="43"/>
  <c r="J46" i="43"/>
  <c r="I46" i="43"/>
  <c r="E45" i="43"/>
  <c r="J43" i="43"/>
  <c r="I43" i="43"/>
  <c r="E42" i="43"/>
  <c r="J40" i="43"/>
  <c r="I40" i="43"/>
  <c r="E39" i="43"/>
  <c r="J37" i="43"/>
  <c r="I37" i="43"/>
  <c r="E36" i="43"/>
  <c r="J34" i="43"/>
  <c r="I34" i="43"/>
  <c r="E33" i="43"/>
  <c r="J31" i="43"/>
  <c r="I31" i="43"/>
  <c r="E30" i="43"/>
  <c r="E27" i="43"/>
  <c r="E24" i="43"/>
  <c r="J22" i="43"/>
  <c r="I22" i="43"/>
  <c r="E21" i="43"/>
  <c r="J19" i="43"/>
  <c r="I19" i="43"/>
  <c r="E18" i="43"/>
  <c r="J16" i="43"/>
  <c r="I16" i="43"/>
  <c r="E15" i="43"/>
  <c r="E12" i="43"/>
  <c r="J10" i="43"/>
  <c r="I10" i="43"/>
  <c r="E9" i="43"/>
  <c r="E6" i="43"/>
  <c r="K50" i="42"/>
  <c r="J50" i="42"/>
  <c r="F49" i="42"/>
  <c r="K44" i="42"/>
  <c r="J44" i="42"/>
  <c r="F43" i="42"/>
  <c r="K36" i="42"/>
  <c r="J36" i="42"/>
  <c r="F35" i="42"/>
  <c r="K33" i="42"/>
  <c r="J33" i="42"/>
  <c r="F32" i="42"/>
  <c r="K30" i="42"/>
  <c r="J30" i="42"/>
  <c r="F29" i="42"/>
  <c r="K19" i="42"/>
  <c r="J19" i="42"/>
  <c r="F18" i="42"/>
  <c r="K40" i="42"/>
  <c r="J40" i="42"/>
  <c r="F39" i="42"/>
  <c r="K47" i="42"/>
  <c r="J47" i="42"/>
  <c r="F46" i="42"/>
  <c r="K27" i="42"/>
  <c r="J27" i="42"/>
  <c r="F26" i="42"/>
  <c r="K22" i="42"/>
  <c r="J22" i="42"/>
  <c r="F21" i="42"/>
  <c r="K9" i="42"/>
  <c r="J9" i="42"/>
  <c r="F8" i="42"/>
  <c r="F50" i="42" l="1"/>
  <c r="K51" i="42"/>
  <c r="J108" i="43"/>
  <c r="E107" i="43"/>
  <c r="I108" i="43"/>
  <c r="J51" i="42"/>
</calcChain>
</file>

<file path=xl/sharedStrings.xml><?xml version="1.0" encoding="utf-8"?>
<sst xmlns="http://schemas.openxmlformats.org/spreadsheetml/2006/main" count="98" uniqueCount="40">
  <si>
    <t>費目</t>
    <rPh sb="0" eb="2">
      <t>ヒモク</t>
    </rPh>
    <phoneticPr fontId="2"/>
  </si>
  <si>
    <t>金額</t>
    <rPh sb="0" eb="2">
      <t>キンガク</t>
    </rPh>
    <phoneticPr fontId="2"/>
  </si>
  <si>
    <t>購入年月日</t>
    <rPh sb="0" eb="2">
      <t>コウニュウ</t>
    </rPh>
    <rPh sb="2" eb="5">
      <t>ネンガッピ</t>
    </rPh>
    <phoneticPr fontId="2"/>
  </si>
  <si>
    <t>内訳</t>
    <rPh sb="0" eb="2">
      <t>ウチワケ</t>
    </rPh>
    <phoneticPr fontId="2"/>
  </si>
  <si>
    <t>対象外金額</t>
    <rPh sb="0" eb="3">
      <t>タイショウガイ</t>
    </rPh>
    <rPh sb="3" eb="5">
      <t>キンガク</t>
    </rPh>
    <phoneticPr fontId="2"/>
  </si>
  <si>
    <t>消耗品費</t>
    <rPh sb="0" eb="3">
      <t>ショウモウヒン</t>
    </rPh>
    <rPh sb="3" eb="4">
      <t>ヒ</t>
    </rPh>
    <phoneticPr fontId="2"/>
  </si>
  <si>
    <t>小計</t>
    <rPh sb="0" eb="2">
      <t>ショウケイ</t>
    </rPh>
    <phoneticPr fontId="2"/>
  </si>
  <si>
    <t>宿泊・飲食代</t>
    <rPh sb="0" eb="2">
      <t>シュクハク</t>
    </rPh>
    <rPh sb="3" eb="6">
      <t>インショクダイ</t>
    </rPh>
    <phoneticPr fontId="2"/>
  </si>
  <si>
    <t>備考</t>
    <rPh sb="0" eb="2">
      <t>ビコウ</t>
    </rPh>
    <phoneticPr fontId="2"/>
  </si>
  <si>
    <t>通信・郵便費</t>
    <rPh sb="0" eb="2">
      <t>ツウシン</t>
    </rPh>
    <rPh sb="3" eb="5">
      <t>ユウビン</t>
    </rPh>
    <rPh sb="5" eb="6">
      <t>ヒ</t>
    </rPh>
    <phoneticPr fontId="2"/>
  </si>
  <si>
    <t>印刷製本費</t>
    <rPh sb="0" eb="2">
      <t>インサツ</t>
    </rPh>
    <rPh sb="2" eb="5">
      <t>セイホンヒ</t>
    </rPh>
    <phoneticPr fontId="2"/>
  </si>
  <si>
    <t>学外施設利用料</t>
    <rPh sb="0" eb="7">
      <t>ガクガイシセツリヨウリョウ</t>
    </rPh>
    <phoneticPr fontId="2"/>
  </si>
  <si>
    <t>外部団体登録料</t>
    <rPh sb="0" eb="2">
      <t>ガイブ</t>
    </rPh>
    <rPh sb="2" eb="4">
      <t>ダンタイ</t>
    </rPh>
    <rPh sb="4" eb="6">
      <t>トウロク</t>
    </rPh>
    <rPh sb="6" eb="7">
      <t>リョウ</t>
    </rPh>
    <phoneticPr fontId="2"/>
  </si>
  <si>
    <t>保険費</t>
    <rPh sb="0" eb="2">
      <t>ホケン</t>
    </rPh>
    <rPh sb="2" eb="3">
      <t>ヒ</t>
    </rPh>
    <phoneticPr fontId="2"/>
  </si>
  <si>
    <t>学祭費</t>
    <rPh sb="0" eb="3">
      <t>ガクサイヒ</t>
    </rPh>
    <phoneticPr fontId="2"/>
  </si>
  <si>
    <t>交通費</t>
    <rPh sb="0" eb="3">
      <t>コウツウヒ</t>
    </rPh>
    <phoneticPr fontId="2"/>
  </si>
  <si>
    <t>贈答品</t>
    <rPh sb="0" eb="3">
      <t>ゾウトウヒン</t>
    </rPh>
    <phoneticPr fontId="2"/>
  </si>
  <si>
    <t>機材用具費(購入･修理)</t>
    <rPh sb="0" eb="2">
      <t>キザイ</t>
    </rPh>
    <rPh sb="2" eb="4">
      <t>ヨウグ</t>
    </rPh>
    <rPh sb="4" eb="5">
      <t>ヒ</t>
    </rPh>
    <rPh sb="6" eb="8">
      <t>コウニュウ</t>
    </rPh>
    <rPh sb="9" eb="11">
      <t>シュウリ</t>
    </rPh>
    <phoneticPr fontId="2"/>
  </si>
  <si>
    <t>宴会･納会・ﾚｾﾌﾟｼｮﾝ代</t>
    <rPh sb="0" eb="2">
      <t>エンカイ</t>
    </rPh>
    <rPh sb="3" eb="5">
      <t>ノウカイ</t>
    </rPh>
    <rPh sb="13" eb="14">
      <t>ダイ</t>
    </rPh>
    <phoneticPr fontId="2"/>
  </si>
  <si>
    <t>総合計</t>
    <rPh sb="0" eb="1">
      <t>ソウ</t>
    </rPh>
    <rPh sb="1" eb="3">
      <t>ゴウケイ</t>
    </rPh>
    <phoneticPr fontId="2"/>
  </si>
  <si>
    <t>対象金額</t>
    <rPh sb="0" eb="2">
      <t>タイショウ</t>
    </rPh>
    <rPh sb="2" eb="4">
      <t>キンガクガク</t>
    </rPh>
    <phoneticPr fontId="2"/>
  </si>
  <si>
    <t>振込手数料</t>
    <rPh sb="0" eb="2">
      <t>フリコミ</t>
    </rPh>
    <rPh sb="2" eb="5">
      <t>テスウリョウ</t>
    </rPh>
    <phoneticPr fontId="2"/>
  </si>
  <si>
    <t>運搬費</t>
    <rPh sb="0" eb="2">
      <t>ウンパン</t>
    </rPh>
    <rPh sb="2" eb="3">
      <t>ヒ</t>
    </rPh>
    <phoneticPr fontId="2"/>
  </si>
  <si>
    <t>会場装飾費(宴会除く)</t>
    <rPh sb="0" eb="2">
      <t>カイジョウ</t>
    </rPh>
    <rPh sb="2" eb="4">
      <t>ソウショク</t>
    </rPh>
    <rPh sb="4" eb="5">
      <t>ヒ</t>
    </rPh>
    <rPh sb="6" eb="8">
      <t>エンカイ</t>
    </rPh>
    <rPh sb="8" eb="9">
      <t>ノゾ</t>
    </rPh>
    <phoneticPr fontId="2"/>
  </si>
  <si>
    <t>書籍等資料購入費</t>
    <rPh sb="0" eb="2">
      <t>ショセキ</t>
    </rPh>
    <rPh sb="2" eb="3">
      <t>ナド</t>
    </rPh>
    <rPh sb="3" eb="5">
      <t>シリョウ</t>
    </rPh>
    <rPh sb="5" eb="8">
      <t>コウニュウヒ</t>
    </rPh>
    <phoneticPr fontId="2"/>
  </si>
  <si>
    <t>用途</t>
    <rPh sb="0" eb="2">
      <t>ヨウト</t>
    </rPh>
    <phoneticPr fontId="2"/>
  </si>
  <si>
    <t>演劇等舞台衣裳費(購入・ﾚﾝﾀﾙ・修理)</t>
    <rPh sb="0" eb="3">
      <t>エンゲキナド</t>
    </rPh>
    <rPh sb="3" eb="5">
      <t>ブタイ</t>
    </rPh>
    <rPh sb="5" eb="7">
      <t>イショウ</t>
    </rPh>
    <rPh sb="7" eb="8">
      <t>ヒ</t>
    </rPh>
    <rPh sb="9" eb="11">
      <t>コウニュウ</t>
    </rPh>
    <rPh sb="17" eb="19">
      <t>シュウリ</t>
    </rPh>
    <phoneticPr fontId="2"/>
  </si>
  <si>
    <t>講師等への謝礼代</t>
    <phoneticPr fontId="2"/>
  </si>
  <si>
    <t>大会参加費(ｴﾝﾄﾘｰ代のみ)</t>
    <rPh sb="0" eb="2">
      <t>タイカイ</t>
    </rPh>
    <rPh sb="2" eb="5">
      <t>サンカヒ</t>
    </rPh>
    <phoneticPr fontId="2"/>
  </si>
  <si>
    <t>廃液等廃棄物処理費</t>
    <phoneticPr fontId="2"/>
  </si>
  <si>
    <t>(</t>
    <phoneticPr fontId="2"/>
  </si>
  <si>
    <t>)</t>
    <phoneticPr fontId="2"/>
  </si>
  <si>
    <t>【団体名】</t>
    <rPh sb="1" eb="3">
      <t>ダンタイ</t>
    </rPh>
    <rPh sb="3" eb="4">
      <t>メイ</t>
    </rPh>
    <phoneticPr fontId="2"/>
  </si>
  <si>
    <t>:</t>
    <phoneticPr fontId="2"/>
  </si>
  <si>
    <t>NO.</t>
    <phoneticPr fontId="2"/>
  </si>
  <si>
    <t>←団体名を入力</t>
    <rPh sb="1" eb="4">
      <t>ダンタイメイ</t>
    </rPh>
    <rPh sb="5" eb="7">
      <t>ニュウリョク</t>
    </rPh>
    <phoneticPr fontId="2"/>
  </si>
  <si>
    <t>※入力例(別ｼｰﾄ)を参照すること</t>
    <rPh sb="1" eb="3">
      <t>ニュウリョク</t>
    </rPh>
    <rPh sb="3" eb="4">
      <t>レイ</t>
    </rPh>
    <rPh sb="5" eb="6">
      <t>ベツ</t>
    </rPh>
    <rPh sb="11" eb="13">
      <t>サンショウ</t>
    </rPh>
    <phoneticPr fontId="2"/>
  </si>
  <si>
    <t>※このファイルは、GCSSにて決算書を入力する前に作成してください。
　作成後は、この明細資料を基にGCSSにて決算書の支出額を入力すると同時に、このファイルもGCSSより提出していただきます。</t>
    <rPh sb="15" eb="18">
      <t>ケッサンショ</t>
    </rPh>
    <rPh sb="19" eb="21">
      <t>ニュウリョク</t>
    </rPh>
    <rPh sb="23" eb="24">
      <t>マエ</t>
    </rPh>
    <rPh sb="25" eb="27">
      <t>サクセイ</t>
    </rPh>
    <rPh sb="36" eb="39">
      <t>サクセイゴ</t>
    </rPh>
    <rPh sb="43" eb="47">
      <t>メイサイシリョウ</t>
    </rPh>
    <rPh sb="48" eb="49">
      <t>モト</t>
    </rPh>
    <rPh sb="56" eb="59">
      <t>ケッサンショ</t>
    </rPh>
    <rPh sb="60" eb="62">
      <t>シシュツ</t>
    </rPh>
    <rPh sb="62" eb="63">
      <t>ガク</t>
    </rPh>
    <rPh sb="64" eb="66">
      <t>ニュウリョク</t>
    </rPh>
    <rPh sb="69" eb="71">
      <t>ドウジ</t>
    </rPh>
    <rPh sb="86" eb="88">
      <t>テイシュツ</t>
    </rPh>
    <phoneticPr fontId="2"/>
  </si>
  <si>
    <t>教材費</t>
    <rPh sb="0" eb="3">
      <t>キョウザイヒ</t>
    </rPh>
    <phoneticPr fontId="2"/>
  </si>
  <si>
    <t>サーバー維持費</t>
    <rPh sb="4" eb="7">
      <t>イジヒ</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</si>
</sst>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font>
    <font>
      <sz val="11"/>
      <color theme="1"/>
      <name val="ＭＳ Ｐゴシック"/>
      <family val="2"/>
      <charset val="128"/>
    </font>
    <font>
      <sz val="6"/>
      <name val="ＭＳ Ｐゴシック"/>
      <family val="2"/>
      <charset val="128"/>
    </font>
    <font>
      <sz val="9"/>
      <color theme="1"/>
      <name val="Meiryo UI"/>
      <family val="3"/>
      <charset val="128"/>
    </font>
    <font>
      <b/>
      <sz val="11"/>
      <color theme="1"/>
      <name val="Meiryo UI"/>
      <family val="3"/>
      <charset val="128"/>
    </font>
    <font>
      <sz val="11"/>
      <color theme="1"/>
      <name val="Meiryo UI"/>
      <family val="3"/>
      <charset val="128"/>
    </font>
    <font>
      <b/>
      <sz val="9"/>
      <color theme="1"/>
      <name val="Meiryo UI"/>
      <family val="3"/>
      <charset val="128"/>
    </font>
    <font>
      <sz val="16"/>
      <color theme="1"/>
      <name val="Meiryo UI"/>
      <family val="3"/>
      <charset val="128"/>
    </font>
    <font>
      <sz val="11"/>
      <color theme="0"/>
      <name val="Meiryo UI"/>
      <family val="3"/>
      <charset val="128"/>
    </font>
    <font>
      <sz val="10"/>
      <color theme="1" tint="0.499984740745262"/>
      <name val="Meiryo UI"/>
      <family val="3"/>
      <charset val="128"/>
    </font>
    <font>
      <sz val="11"/>
      <name val="ＭＳ Ｐゴシック"/>
      <family val="3"/>
      <charset val="128"/>
    </font>
    <font>
      <sz val="9"/>
      <name val="Meiryo UI"/>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7" tint="0.79998168889431442"/>
        <bgColor indexed="64"/>
      </patternFill>
    </fill>
  </fills>
  <borders count="3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ck">
        <color theme="8"/>
      </left>
      <right style="thick">
        <color theme="8"/>
      </right>
      <top style="thick">
        <color theme="8"/>
      </top>
      <bottom style="thick">
        <color theme="8"/>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10" fillId="0" borderId="0"/>
    <xf numFmtId="38" fontId="10" fillId="0" borderId="0" applyFont="0" applyFill="0" applyBorder="0" applyAlignment="0" applyProtection="0"/>
  </cellStyleXfs>
  <cellXfs count="127">
    <xf numFmtId="0" fontId="0" fillId="0" borderId="0" xfId="0">
      <alignment vertical="center"/>
    </xf>
    <xf numFmtId="0" fontId="4" fillId="0" borderId="0" xfId="0" applyFont="1">
      <alignment vertical="center"/>
    </xf>
    <xf numFmtId="0" fontId="5" fillId="0" borderId="0" xfId="0" applyFont="1" applyAlignment="1">
      <alignment horizontal="center" vertical="center"/>
    </xf>
    <xf numFmtId="38" fontId="5" fillId="0" borderId="0" xfId="1" applyFont="1">
      <alignment vertical="center"/>
    </xf>
    <xf numFmtId="0" fontId="5" fillId="0" borderId="0" xfId="0" applyFont="1">
      <alignment vertical="center"/>
    </xf>
    <xf numFmtId="0" fontId="6" fillId="0" borderId="6" xfId="0" applyFont="1" applyBorder="1">
      <alignment vertical="center"/>
    </xf>
    <xf numFmtId="38" fontId="3" fillId="0" borderId="1" xfId="1" applyFont="1" applyFill="1" applyBorder="1">
      <alignment vertical="center"/>
    </xf>
    <xf numFmtId="0" fontId="3" fillId="0" borderId="2" xfId="0" applyFont="1" applyBorder="1">
      <alignment vertical="center"/>
    </xf>
    <xf numFmtId="38" fontId="3" fillId="0" borderId="1" xfId="1" applyFont="1" applyFill="1" applyBorder="1" applyAlignment="1">
      <alignment horizontal="right" vertical="center"/>
    </xf>
    <xf numFmtId="0" fontId="3" fillId="0" borderId="2" xfId="0" applyFont="1" applyBorder="1" applyAlignment="1">
      <alignment horizontal="left" vertical="center"/>
    </xf>
    <xf numFmtId="38" fontId="6" fillId="0" borderId="5" xfId="1" applyFont="1" applyFill="1" applyBorder="1">
      <alignment vertical="center"/>
    </xf>
    <xf numFmtId="0" fontId="3" fillId="0" borderId="2" xfId="0" applyFont="1" applyBorder="1" applyAlignment="1">
      <alignment vertical="center" wrapText="1"/>
    </xf>
    <xf numFmtId="0" fontId="3" fillId="0" borderId="2" xfId="0" applyFont="1" applyBorder="1" applyAlignment="1">
      <alignment vertical="top" wrapText="1"/>
    </xf>
    <xf numFmtId="38" fontId="5" fillId="0" borderId="0" xfId="0" applyNumberFormat="1" applyFont="1">
      <alignment vertical="center"/>
    </xf>
    <xf numFmtId="0" fontId="3" fillId="2" borderId="3" xfId="0" applyFont="1" applyFill="1" applyBorder="1" applyAlignment="1">
      <alignment horizontal="center" vertical="center"/>
    </xf>
    <xf numFmtId="14" fontId="6" fillId="2" borderId="5" xfId="0" applyNumberFormat="1" applyFont="1" applyFill="1" applyBorder="1" applyAlignment="1">
      <alignment horizontal="left" vertical="center" indent="1"/>
    </xf>
    <xf numFmtId="38" fontId="6" fillId="2" borderId="5" xfId="1" applyFont="1" applyFill="1" applyBorder="1">
      <alignment vertical="center"/>
    </xf>
    <xf numFmtId="38" fontId="3" fillId="0" borderId="16" xfId="1" applyFont="1" applyFill="1" applyBorder="1">
      <alignment vertical="center"/>
    </xf>
    <xf numFmtId="38" fontId="3" fillId="0" borderId="1" xfId="1" applyFont="1" applyFill="1" applyBorder="1" applyAlignment="1">
      <alignment vertical="center"/>
    </xf>
    <xf numFmtId="0" fontId="5" fillId="2" borderId="7" xfId="0" applyFont="1" applyFill="1" applyBorder="1">
      <alignment vertical="center"/>
    </xf>
    <xf numFmtId="0" fontId="3" fillId="2" borderId="2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14" xfId="0" applyFont="1" applyFill="1" applyBorder="1" applyAlignment="1">
      <alignment horizontal="center" vertical="center" wrapText="1"/>
    </xf>
    <xf numFmtId="38" fontId="3" fillId="2" borderId="13" xfId="1" applyFont="1" applyFill="1" applyBorder="1" applyAlignment="1">
      <alignment horizontal="center" vertical="center"/>
    </xf>
    <xf numFmtId="0" fontId="3" fillId="2" borderId="13" xfId="0" applyFont="1" applyFill="1" applyBorder="1" applyAlignment="1">
      <alignment horizontal="center" vertical="center"/>
    </xf>
    <xf numFmtId="38" fontId="3" fillId="2" borderId="13" xfId="1"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7" xfId="0" applyFont="1" applyFill="1" applyBorder="1" applyAlignment="1">
      <alignment horizontal="left" vertical="center"/>
    </xf>
    <xf numFmtId="0" fontId="3" fillId="2" borderId="25" xfId="0" applyFont="1" applyFill="1" applyBorder="1" applyAlignment="1">
      <alignment horizontal="left" vertical="center"/>
    </xf>
    <xf numFmtId="0" fontId="3" fillId="2" borderId="21" xfId="0" applyFont="1" applyFill="1" applyBorder="1" applyAlignment="1">
      <alignment horizontal="left" vertical="center"/>
    </xf>
    <xf numFmtId="0" fontId="3" fillId="2" borderId="8" xfId="0" applyFont="1" applyFill="1" applyBorder="1" applyAlignment="1">
      <alignment horizontal="left" vertical="center"/>
    </xf>
    <xf numFmtId="0" fontId="3" fillId="2" borderId="0" xfId="0" applyFont="1" applyFill="1" applyAlignment="1">
      <alignment horizontal="left" vertical="center"/>
    </xf>
    <xf numFmtId="0" fontId="3" fillId="2" borderId="22" xfId="0" applyFont="1" applyFill="1" applyBorder="1" applyAlignment="1">
      <alignment horizontal="left" vertical="center"/>
    </xf>
    <xf numFmtId="0" fontId="6" fillId="2" borderId="9" xfId="0" applyFont="1" applyFill="1" applyBorder="1">
      <alignment vertical="center"/>
    </xf>
    <xf numFmtId="0" fontId="6" fillId="2" borderId="26" xfId="0" applyFont="1" applyFill="1" applyBorder="1">
      <alignment vertical="center"/>
    </xf>
    <xf numFmtId="0" fontId="6" fillId="2" borderId="23" xfId="0" applyFont="1" applyFill="1" applyBorder="1">
      <alignment vertical="center"/>
    </xf>
    <xf numFmtId="0" fontId="3" fillId="2" borderId="7" xfId="0" applyFont="1" applyFill="1" applyBorder="1">
      <alignment vertical="center"/>
    </xf>
    <xf numFmtId="0" fontId="3" fillId="2" borderId="25" xfId="0" applyFont="1" applyFill="1" applyBorder="1">
      <alignment vertical="center"/>
    </xf>
    <xf numFmtId="0" fontId="3" fillId="2" borderId="21" xfId="0" applyFont="1" applyFill="1" applyBorder="1">
      <alignment vertical="center"/>
    </xf>
    <xf numFmtId="0" fontId="3" fillId="2" borderId="8" xfId="0" applyFont="1" applyFill="1" applyBorder="1">
      <alignment vertical="center"/>
    </xf>
    <xf numFmtId="0" fontId="3" fillId="2" borderId="0" xfId="0" applyFont="1" applyFill="1">
      <alignment vertical="center"/>
    </xf>
    <xf numFmtId="0" fontId="3" fillId="2" borderId="22" xfId="0" applyFont="1" applyFill="1" applyBorder="1">
      <alignment vertical="center"/>
    </xf>
    <xf numFmtId="0" fontId="3" fillId="2" borderId="25" xfId="0" applyFont="1" applyFill="1" applyBorder="1" applyAlignment="1">
      <alignment vertical="center" shrinkToFit="1"/>
    </xf>
    <xf numFmtId="0" fontId="3" fillId="2" borderId="21" xfId="0" applyFont="1" applyFill="1" applyBorder="1" applyAlignment="1">
      <alignment vertical="center" shrinkToFit="1"/>
    </xf>
    <xf numFmtId="0" fontId="6" fillId="2" borderId="8" xfId="0" applyFont="1" applyFill="1" applyBorder="1">
      <alignment vertical="center"/>
    </xf>
    <xf numFmtId="0" fontId="6" fillId="2" borderId="0" xfId="0" applyFont="1" applyFill="1">
      <alignment vertical="center"/>
    </xf>
    <xf numFmtId="0" fontId="6" fillId="2" borderId="22" xfId="0" applyFont="1" applyFill="1" applyBorder="1">
      <alignment vertical="center"/>
    </xf>
    <xf numFmtId="0" fontId="5" fillId="2" borderId="8" xfId="0" applyFont="1" applyFill="1" applyBorder="1">
      <alignment vertical="center"/>
    </xf>
    <xf numFmtId="0" fontId="4" fillId="2" borderId="9" xfId="0" applyFont="1" applyFill="1" applyBorder="1">
      <alignment vertical="center"/>
    </xf>
    <xf numFmtId="0" fontId="5" fillId="2" borderId="21" xfId="0" applyFont="1" applyFill="1" applyBorder="1">
      <alignment vertical="center"/>
    </xf>
    <xf numFmtId="0" fontId="3" fillId="2" borderId="8" xfId="0" applyFont="1" applyFill="1" applyBorder="1" applyAlignment="1">
      <alignment horizontal="left" vertical="center" shrinkToFit="1"/>
    </xf>
    <xf numFmtId="0" fontId="3" fillId="2" borderId="0" xfId="0" applyFont="1" applyFill="1" applyAlignment="1">
      <alignment horizontal="left" vertical="center" shrinkToFit="1"/>
    </xf>
    <xf numFmtId="0" fontId="3" fillId="2" borderId="22" xfId="0" applyFont="1" applyFill="1" applyBorder="1" applyAlignment="1">
      <alignment horizontal="left" vertical="center" shrinkToFit="1"/>
    </xf>
    <xf numFmtId="0" fontId="3" fillId="2" borderId="0" xfId="0" applyFont="1" applyFill="1" applyAlignment="1">
      <alignment vertical="center" shrinkToFit="1"/>
    </xf>
    <xf numFmtId="0" fontId="3" fillId="2" borderId="22" xfId="0" applyFont="1" applyFill="1" applyBorder="1" applyAlignment="1">
      <alignment vertical="center" shrinkToFit="1"/>
    </xf>
    <xf numFmtId="0" fontId="5" fillId="2" borderId="22" xfId="0" applyFont="1" applyFill="1" applyBorder="1">
      <alignment vertical="center"/>
    </xf>
    <xf numFmtId="0" fontId="3" fillId="0" borderId="17" xfId="0" applyFont="1" applyBorder="1" applyAlignment="1">
      <alignment horizontal="left" vertical="center"/>
    </xf>
    <xf numFmtId="0" fontId="3" fillId="2" borderId="28" xfId="0" applyFont="1" applyFill="1" applyBorder="1" applyAlignment="1">
      <alignment horizontal="center" vertical="center"/>
    </xf>
    <xf numFmtId="38" fontId="3" fillId="2" borderId="29" xfId="1" applyFont="1" applyFill="1" applyBorder="1">
      <alignment vertical="center"/>
    </xf>
    <xf numFmtId="14" fontId="6" fillId="2" borderId="29" xfId="0" applyNumberFormat="1" applyFont="1" applyFill="1" applyBorder="1" applyAlignment="1">
      <alignment horizontal="left" vertical="center" indent="1"/>
    </xf>
    <xf numFmtId="0" fontId="6" fillId="2" borderId="30" xfId="0" applyFont="1" applyFill="1" applyBorder="1">
      <alignment vertical="center"/>
    </xf>
    <xf numFmtId="38" fontId="3" fillId="0" borderId="16" xfId="1" applyFont="1" applyFill="1" applyBorder="1" applyAlignment="1">
      <alignment horizontal="right" vertical="center"/>
    </xf>
    <xf numFmtId="0" fontId="3" fillId="0" borderId="17" xfId="0" applyFont="1" applyBorder="1">
      <alignment vertical="center"/>
    </xf>
    <xf numFmtId="0" fontId="3" fillId="0" borderId="17" xfId="0" applyFont="1" applyBorder="1" applyAlignment="1">
      <alignment vertical="top" wrapText="1"/>
    </xf>
    <xf numFmtId="38" fontId="3" fillId="0" borderId="29" xfId="1" applyFont="1" applyFill="1" applyBorder="1">
      <alignment vertical="center"/>
    </xf>
    <xf numFmtId="0" fontId="6" fillId="0" borderId="30" xfId="0" applyFont="1" applyBorder="1">
      <alignment vertical="center"/>
    </xf>
    <xf numFmtId="0" fontId="3" fillId="0" borderId="17" xfId="0" applyFont="1" applyBorder="1" applyAlignment="1">
      <alignment vertical="center" shrinkToFit="1"/>
    </xf>
    <xf numFmtId="0" fontId="3" fillId="0" borderId="1" xfId="0" applyFont="1" applyBorder="1" applyAlignment="1">
      <alignment vertical="center" wrapText="1"/>
    </xf>
    <xf numFmtId="0" fontId="3" fillId="0" borderId="16" xfId="0" applyFont="1" applyBorder="1" applyAlignment="1">
      <alignment vertical="center" wrapText="1"/>
    </xf>
    <xf numFmtId="0" fontId="4" fillId="0" borderId="0" xfId="0" applyFont="1" applyAlignment="1">
      <alignment horizontal="right" vertical="center"/>
    </xf>
    <xf numFmtId="38" fontId="3" fillId="2" borderId="31" xfId="1" applyFont="1" applyFill="1" applyBorder="1" applyAlignment="1">
      <alignment horizontal="center" vertical="center" wrapText="1"/>
    </xf>
    <xf numFmtId="38" fontId="3" fillId="0" borderId="18" xfId="1" applyFont="1" applyFill="1" applyBorder="1" applyAlignment="1">
      <alignment vertical="center"/>
    </xf>
    <xf numFmtId="38" fontId="3" fillId="0" borderId="19" xfId="1" applyFont="1" applyFill="1" applyBorder="1" applyAlignment="1">
      <alignment vertical="center"/>
    </xf>
    <xf numFmtId="38" fontId="3" fillId="2" borderId="32" xfId="1" applyFont="1" applyFill="1" applyBorder="1">
      <alignment vertical="center"/>
    </xf>
    <xf numFmtId="38" fontId="3" fillId="0" borderId="18" xfId="1" applyFont="1" applyFill="1" applyBorder="1" applyAlignment="1">
      <alignment horizontal="right" vertical="center"/>
    </xf>
    <xf numFmtId="38" fontId="3" fillId="0" borderId="19" xfId="1" applyFont="1" applyFill="1" applyBorder="1" applyAlignment="1">
      <alignment horizontal="right" vertical="center"/>
    </xf>
    <xf numFmtId="38" fontId="3" fillId="0" borderId="18" xfId="1" applyFont="1" applyFill="1" applyBorder="1">
      <alignment vertical="center"/>
    </xf>
    <xf numFmtId="38" fontId="3" fillId="0" borderId="19" xfId="1" applyFont="1" applyFill="1" applyBorder="1">
      <alignment vertical="center"/>
    </xf>
    <xf numFmtId="38" fontId="3" fillId="0" borderId="32" xfId="1" applyFont="1" applyFill="1" applyBorder="1">
      <alignment vertical="center"/>
    </xf>
    <xf numFmtId="0" fontId="3" fillId="0" borderId="18" xfId="0" applyFont="1" applyBorder="1">
      <alignment vertical="center"/>
    </xf>
    <xf numFmtId="38" fontId="6" fillId="0" borderId="27" xfId="1" applyFont="1" applyFill="1" applyBorder="1">
      <alignment vertical="center"/>
    </xf>
    <xf numFmtId="0" fontId="3" fillId="2" borderId="9" xfId="0" applyFont="1" applyFill="1" applyBorder="1">
      <alignment vertical="center"/>
    </xf>
    <xf numFmtId="0" fontId="3" fillId="2" borderId="26" xfId="0" applyFont="1" applyFill="1" applyBorder="1">
      <alignment vertical="center"/>
    </xf>
    <xf numFmtId="0" fontId="3" fillId="2" borderId="23" xfId="0" applyFont="1" applyFill="1" applyBorder="1">
      <alignment vertical="center"/>
    </xf>
    <xf numFmtId="0" fontId="6" fillId="2" borderId="30" xfId="0" applyFont="1" applyFill="1" applyBorder="1" applyAlignment="1">
      <alignment vertical="center" shrinkToFit="1"/>
    </xf>
    <xf numFmtId="0" fontId="6" fillId="2" borderId="6" xfId="0" applyFont="1" applyFill="1" applyBorder="1" applyAlignment="1">
      <alignment vertical="center" shrinkToFit="1"/>
    </xf>
    <xf numFmtId="0" fontId="6" fillId="2" borderId="29" xfId="0" applyFont="1" applyFill="1" applyBorder="1" applyAlignment="1">
      <alignment vertical="center" shrinkToFit="1"/>
    </xf>
    <xf numFmtId="0" fontId="6" fillId="2" borderId="5" xfId="0" applyFont="1" applyFill="1" applyBorder="1" applyAlignment="1">
      <alignment vertical="center" shrinkToFit="1"/>
    </xf>
    <xf numFmtId="0" fontId="3" fillId="4" borderId="10" xfId="0" applyFont="1" applyFill="1" applyBorder="1" applyAlignment="1">
      <alignment horizontal="center" vertical="center"/>
    </xf>
    <xf numFmtId="38" fontId="3" fillId="4" borderId="1" xfId="1" applyFont="1" applyFill="1" applyBorder="1" applyAlignment="1">
      <alignment vertical="center"/>
    </xf>
    <xf numFmtId="14" fontId="3" fillId="4" borderId="1" xfId="0" applyNumberFormat="1" applyFont="1" applyFill="1" applyBorder="1" applyAlignment="1">
      <alignment horizontal="center" vertical="center"/>
    </xf>
    <xf numFmtId="0" fontId="3" fillId="4" borderId="1" xfId="0" applyFont="1" applyFill="1" applyBorder="1" applyAlignment="1">
      <alignment vertical="center" shrinkToFit="1"/>
    </xf>
    <xf numFmtId="38" fontId="3" fillId="4" borderId="2" xfId="1" applyFont="1" applyFill="1" applyBorder="1" applyAlignment="1">
      <alignment vertical="center" shrinkToFit="1"/>
    </xf>
    <xf numFmtId="0" fontId="3" fillId="4" borderId="15" xfId="0" applyFont="1" applyFill="1" applyBorder="1" applyAlignment="1">
      <alignment horizontal="center" vertical="center"/>
    </xf>
    <xf numFmtId="38" fontId="3" fillId="4" borderId="16" xfId="1" applyFont="1" applyFill="1" applyBorder="1" applyAlignment="1">
      <alignment vertical="center"/>
    </xf>
    <xf numFmtId="14" fontId="3" fillId="4" borderId="16" xfId="0" applyNumberFormat="1" applyFont="1" applyFill="1" applyBorder="1" applyAlignment="1">
      <alignment horizontal="center" vertical="center"/>
    </xf>
    <xf numFmtId="0" fontId="3" fillId="4" borderId="16" xfId="0" applyFont="1" applyFill="1" applyBorder="1" applyAlignment="1">
      <alignment vertical="center" shrinkToFit="1"/>
    </xf>
    <xf numFmtId="38" fontId="3" fillId="4" borderId="4" xfId="1" applyFont="1" applyFill="1" applyBorder="1" applyAlignment="1">
      <alignment vertical="center" shrinkToFit="1"/>
    </xf>
    <xf numFmtId="38" fontId="3" fillId="4" borderId="1" xfId="1" applyFont="1" applyFill="1" applyBorder="1" applyAlignment="1">
      <alignment horizontal="right" vertical="center"/>
    </xf>
    <xf numFmtId="14" fontId="3" fillId="4" borderId="1" xfId="0" applyNumberFormat="1" applyFont="1" applyFill="1" applyBorder="1" applyAlignment="1">
      <alignment horizontal="left" vertical="center" indent="1"/>
    </xf>
    <xf numFmtId="0" fontId="3" fillId="4" borderId="2" xfId="0" applyFont="1" applyFill="1" applyBorder="1" applyAlignment="1">
      <alignment vertical="center" shrinkToFit="1"/>
    </xf>
    <xf numFmtId="38" fontId="3" fillId="4" borderId="16" xfId="1" applyFont="1" applyFill="1" applyBorder="1" applyAlignment="1">
      <alignment horizontal="right" vertical="center"/>
    </xf>
    <xf numFmtId="14" fontId="3" fillId="4" borderId="16" xfId="0" applyNumberFormat="1" applyFont="1" applyFill="1" applyBorder="1" applyAlignment="1">
      <alignment horizontal="left" vertical="center" indent="1"/>
    </xf>
    <xf numFmtId="0" fontId="3" fillId="4" borderId="17" xfId="0" applyFont="1" applyFill="1" applyBorder="1" applyAlignment="1">
      <alignment vertical="center" shrinkToFit="1"/>
    </xf>
    <xf numFmtId="38" fontId="3" fillId="4" borderId="1" xfId="1" applyFont="1" applyFill="1" applyBorder="1">
      <alignment vertical="center"/>
    </xf>
    <xf numFmtId="38" fontId="3" fillId="4" borderId="16" xfId="1" applyFont="1" applyFill="1" applyBorder="1">
      <alignment vertical="center"/>
    </xf>
    <xf numFmtId="0" fontId="3" fillId="4" borderId="0" xfId="0" applyFont="1" applyFill="1">
      <alignment vertical="center"/>
    </xf>
    <xf numFmtId="0" fontId="3" fillId="4" borderId="25" xfId="0" applyFont="1" applyFill="1" applyBorder="1">
      <alignment vertical="center"/>
    </xf>
    <xf numFmtId="0" fontId="8" fillId="3" borderId="33" xfId="0" applyFont="1" applyFill="1" applyBorder="1">
      <alignment vertical="center"/>
    </xf>
    <xf numFmtId="0" fontId="9" fillId="0" borderId="0" xfId="0" applyFont="1" applyAlignment="1">
      <alignment horizontal="right" vertical="center"/>
    </xf>
    <xf numFmtId="0" fontId="5" fillId="2" borderId="12" xfId="0" applyFont="1" applyFill="1" applyBorder="1">
      <alignment vertical="center"/>
    </xf>
    <xf numFmtId="38" fontId="3" fillId="4" borderId="34" xfId="1" applyFont="1" applyFill="1" applyBorder="1" applyAlignment="1">
      <alignment horizontal="right" vertical="center"/>
    </xf>
    <xf numFmtId="14" fontId="3" fillId="4" borderId="34" xfId="0" applyNumberFormat="1" applyFont="1" applyFill="1" applyBorder="1" applyAlignment="1">
      <alignment horizontal="left" vertical="center" indent="1"/>
    </xf>
    <xf numFmtId="0" fontId="3" fillId="4" borderId="34" xfId="0" applyFont="1" applyFill="1" applyBorder="1" applyAlignment="1">
      <alignment vertical="center" shrinkToFit="1"/>
    </xf>
    <xf numFmtId="0" fontId="3" fillId="4" borderId="35" xfId="0" applyFont="1" applyFill="1" applyBorder="1" applyAlignment="1">
      <alignment vertical="center" shrinkToFit="1"/>
    </xf>
    <xf numFmtId="38" fontId="3" fillId="0" borderId="36" xfId="1" applyFont="1" applyFill="1" applyBorder="1" applyAlignment="1">
      <alignment horizontal="right" vertical="center"/>
    </xf>
    <xf numFmtId="38" fontId="3" fillId="0" borderId="37" xfId="1" applyFont="1" applyFill="1" applyBorder="1" applyAlignment="1">
      <alignment horizontal="right" vertical="center"/>
    </xf>
    <xf numFmtId="0" fontId="3" fillId="0" borderId="4" xfId="0" applyFont="1" applyBorder="1" applyAlignment="1">
      <alignment horizontal="left" vertical="center"/>
    </xf>
    <xf numFmtId="0" fontId="11" fillId="4" borderId="16" xfId="0" applyFont="1" applyFill="1" applyBorder="1" applyAlignment="1">
      <alignment vertical="center" shrinkToFit="1"/>
    </xf>
    <xf numFmtId="0" fontId="11" fillId="4" borderId="35" xfId="0" applyFont="1" applyFill="1" applyBorder="1" applyAlignment="1">
      <alignment vertical="center" shrinkToFit="1"/>
    </xf>
    <xf numFmtId="38" fontId="7" fillId="4" borderId="26" xfId="1" applyFont="1" applyFill="1" applyBorder="1" applyAlignment="1">
      <alignment horizontal="left" vertical="center" indent="1"/>
    </xf>
    <xf numFmtId="0" fontId="3" fillId="2" borderId="7" xfId="0" applyFont="1" applyFill="1" applyBorder="1" applyAlignment="1">
      <alignment horizontal="left" vertical="center" shrinkToFit="1"/>
    </xf>
    <xf numFmtId="0" fontId="3" fillId="2" borderId="25" xfId="0" applyFont="1" applyFill="1" applyBorder="1" applyAlignment="1">
      <alignment horizontal="left" vertical="center" shrinkToFit="1"/>
    </xf>
    <xf numFmtId="0" fontId="3" fillId="2" borderId="21" xfId="0" applyFont="1" applyFill="1" applyBorder="1" applyAlignment="1">
      <alignment horizontal="left" vertical="center" shrinkToFit="1"/>
    </xf>
    <xf numFmtId="0" fontId="5" fillId="0" borderId="12" xfId="0" applyFont="1" applyBorder="1" applyAlignment="1">
      <alignment horizontal="left" vertical="center" wrapText="1"/>
    </xf>
    <xf numFmtId="0" fontId="5" fillId="0" borderId="24" xfId="0" applyFont="1" applyBorder="1" applyAlignment="1">
      <alignment horizontal="left" vertical="center" wrapText="1"/>
    </xf>
    <xf numFmtId="0" fontId="5" fillId="0" borderId="20" xfId="0" applyFont="1" applyBorder="1" applyAlignment="1">
      <alignment horizontal="left" vertical="center" wrapText="1"/>
    </xf>
  </cellXfs>
  <cellStyles count="4">
    <cellStyle name="桁区切り" xfId="1" builtinId="6"/>
    <cellStyle name="桁区切り 2" xfId="3" xr:uid="{00000000-0005-0000-0000-000001000000}"/>
    <cellStyle name="標準" xfId="0" builtinId="0"/>
    <cellStyle name="標準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1803399</xdr:colOff>
      <xdr:row>6</xdr:row>
      <xdr:rowOff>247650</xdr:rowOff>
    </xdr:from>
    <xdr:to>
      <xdr:col>24</xdr:col>
      <xdr:colOff>19050</xdr:colOff>
      <xdr:row>7</xdr:row>
      <xdr:rowOff>266700</xdr:rowOff>
    </xdr:to>
    <xdr:sp macro="" textlink="">
      <xdr:nvSpPr>
        <xdr:cNvPr id="29" name="線吹き出し 1 (枠付き) 28">
          <a:extLst>
            <a:ext uri="{FF2B5EF4-FFF2-40B4-BE49-F238E27FC236}">
              <a16:creationId xmlns:a16="http://schemas.microsoft.com/office/drawing/2014/main" id="{00000000-0008-0000-0100-00001D000000}"/>
            </a:ext>
          </a:extLst>
        </xdr:cNvPr>
        <xdr:cNvSpPr/>
      </xdr:nvSpPr>
      <xdr:spPr>
        <a:xfrm>
          <a:off x="5994399" y="1924050"/>
          <a:ext cx="3816351" cy="295275"/>
        </a:xfrm>
        <a:prstGeom prst="borderCallout1">
          <a:avLst>
            <a:gd name="adj1" fmla="val 50694"/>
            <a:gd name="adj2" fmla="val -677"/>
            <a:gd name="adj3" fmla="val 54513"/>
            <a:gd name="adj4" fmla="val -79315"/>
          </a:avLst>
        </a:prstGeom>
        <a:ln w="28575">
          <a:head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GCSS</a:t>
          </a:r>
          <a:r>
            <a:rPr kumimoji="1" lang="ja-JP" altLang="en-US" sz="1000">
              <a:latin typeface="Meiryo UI" panose="020B0604030504040204" pitchFamily="50" charset="-128"/>
              <a:ea typeface="Meiryo UI" panose="020B0604030504040204" pitchFamily="50" charset="-128"/>
            </a:rPr>
            <a:t>にて決算書の支出「消耗品費」の欄に、この金額を入力。</a:t>
          </a:r>
        </a:p>
      </xdr:txBody>
    </xdr:sp>
    <xdr:clientData/>
  </xdr:twoCellAnchor>
  <xdr:twoCellAnchor>
    <xdr:from>
      <xdr:col>7</xdr:col>
      <xdr:colOff>1266825</xdr:colOff>
      <xdr:row>16</xdr:row>
      <xdr:rowOff>180976</xdr:rowOff>
    </xdr:from>
    <xdr:to>
      <xdr:col>32</xdr:col>
      <xdr:colOff>95250</xdr:colOff>
      <xdr:row>33</xdr:row>
      <xdr:rowOff>171450</xdr:rowOff>
    </xdr:to>
    <xdr:sp macro="" textlink="">
      <xdr:nvSpPr>
        <xdr:cNvPr id="7" name="メモ 6">
          <a:extLst>
            <a:ext uri="{FF2B5EF4-FFF2-40B4-BE49-F238E27FC236}">
              <a16:creationId xmlns:a16="http://schemas.microsoft.com/office/drawing/2014/main" id="{00000000-0008-0000-0100-000007000000}"/>
            </a:ext>
          </a:extLst>
        </xdr:cNvPr>
        <xdr:cNvSpPr/>
      </xdr:nvSpPr>
      <xdr:spPr>
        <a:xfrm>
          <a:off x="5457825" y="3781426"/>
          <a:ext cx="5419725" cy="4686299"/>
        </a:xfrm>
        <a:prstGeom prst="foldedCorner">
          <a:avLst>
            <a:gd name="adj" fmla="val 6743"/>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1597218</xdr:colOff>
      <xdr:row>25</xdr:row>
      <xdr:rowOff>27056</xdr:rowOff>
    </xdr:from>
    <xdr:to>
      <xdr:col>31</xdr:col>
      <xdr:colOff>25529</xdr:colOff>
      <xdr:row>29</xdr:row>
      <xdr:rowOff>219076</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16200000">
          <a:off x="7501926" y="4456973"/>
          <a:ext cx="1296920" cy="489578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1603248</xdr:colOff>
      <xdr:row>20</xdr:row>
      <xdr:rowOff>68506</xdr:rowOff>
    </xdr:from>
    <xdr:to>
      <xdr:col>26</xdr:col>
      <xdr:colOff>95989</xdr:colOff>
      <xdr:row>24</xdr:row>
      <xdr:rowOff>260526</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rot="16200000">
          <a:off x="7230609" y="3394645"/>
          <a:ext cx="1296920" cy="434109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1639424</xdr:colOff>
      <xdr:row>20</xdr:row>
      <xdr:rowOff>238265</xdr:rowOff>
    </xdr:from>
    <xdr:to>
      <xdr:col>8</xdr:col>
      <xdr:colOff>305539</xdr:colOff>
      <xdr:row>21</xdr:row>
      <xdr:rowOff>216298</xdr:rowOff>
    </xdr:to>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5744699" y="5086490"/>
          <a:ext cx="723515" cy="2542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8</xdr:col>
      <xdr:colOff>22161</xdr:colOff>
      <xdr:row>25</xdr:row>
      <xdr:rowOff>47625</xdr:rowOff>
    </xdr:from>
    <xdr:to>
      <xdr:col>8</xdr:col>
      <xdr:colOff>848174</xdr:colOff>
      <xdr:row>26</xdr:row>
      <xdr:rowOff>0</xdr:rowOff>
    </xdr:to>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6184836" y="6276975"/>
          <a:ext cx="826013"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100"/>
            <a:t>●●●</a:t>
          </a:r>
        </a:p>
      </xdr:txBody>
    </xdr:sp>
    <xdr:clientData/>
  </xdr:twoCellAnchor>
  <xdr:twoCellAnchor>
    <xdr:from>
      <xdr:col>7</xdr:col>
      <xdr:colOff>2050986</xdr:colOff>
      <xdr:row>26</xdr:row>
      <xdr:rowOff>104775</xdr:rowOff>
    </xdr:from>
    <xdr:to>
      <xdr:col>8</xdr:col>
      <xdr:colOff>819599</xdr:colOff>
      <xdr:row>26</xdr:row>
      <xdr:rowOff>228600</xdr:rowOff>
    </xdr:to>
    <xdr:sp macro="" textlink="">
      <xdr:nvSpPr>
        <xdr:cNvPr id="11" name="テキスト ボックス 10">
          <a:extLst>
            <a:ext uri="{FF2B5EF4-FFF2-40B4-BE49-F238E27FC236}">
              <a16:creationId xmlns:a16="http://schemas.microsoft.com/office/drawing/2014/main" id="{00000000-0008-0000-0100-00000B000000}"/>
            </a:ext>
          </a:extLst>
        </xdr:cNvPr>
        <xdr:cNvSpPr txBox="1"/>
      </xdr:nvSpPr>
      <xdr:spPr>
        <a:xfrm>
          <a:off x="6156261" y="6610350"/>
          <a:ext cx="826013" cy="123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kumimoji="1" lang="ja-JP" altLang="en-US" sz="1100"/>
        </a:p>
      </xdr:txBody>
    </xdr:sp>
    <xdr:clientData/>
  </xdr:twoCellAnchor>
  <xdr:twoCellAnchor>
    <xdr:from>
      <xdr:col>7</xdr:col>
      <xdr:colOff>1628776</xdr:colOff>
      <xdr:row>18</xdr:row>
      <xdr:rowOff>76200</xdr:rowOff>
    </xdr:from>
    <xdr:to>
      <xdr:col>8</xdr:col>
      <xdr:colOff>752476</xdr:colOff>
      <xdr:row>19</xdr:row>
      <xdr:rowOff>171450</xdr:rowOff>
    </xdr:to>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5734051" y="4371975"/>
          <a:ext cx="1181100" cy="3714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a:latin typeface="HGP創英角ﾎﾟｯﾌﾟ体" panose="040B0A00000000000000" pitchFamily="50" charset="-128"/>
              <a:ea typeface="HGP創英角ﾎﾟｯﾌﾟ体" panose="040B0A00000000000000" pitchFamily="50" charset="-128"/>
            </a:rPr>
            <a:t>消耗品費</a:t>
          </a:r>
        </a:p>
      </xdr:txBody>
    </xdr:sp>
    <xdr:clientData/>
  </xdr:twoCellAnchor>
  <xdr:twoCellAnchor>
    <xdr:from>
      <xdr:col>7</xdr:col>
      <xdr:colOff>1314451</xdr:colOff>
      <xdr:row>20</xdr:row>
      <xdr:rowOff>66675</xdr:rowOff>
    </xdr:from>
    <xdr:to>
      <xdr:col>7</xdr:col>
      <xdr:colOff>1581150</xdr:colOff>
      <xdr:row>21</xdr:row>
      <xdr:rowOff>85725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5419726" y="4914900"/>
          <a:ext cx="266699" cy="2952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latin typeface="HGP創英角ﾎﾟｯﾌﾟ体" panose="040B0A00000000000000" pitchFamily="50" charset="-128"/>
              <a:ea typeface="HGP創英角ﾎﾟｯﾌﾟ体" panose="040B0A00000000000000" pitchFamily="50" charset="-128"/>
            </a:rPr>
            <a:t>①</a:t>
          </a:r>
        </a:p>
      </xdr:txBody>
    </xdr:sp>
    <xdr:clientData/>
  </xdr:twoCellAnchor>
  <xdr:twoCellAnchor>
    <xdr:from>
      <xdr:col>7</xdr:col>
      <xdr:colOff>1314451</xdr:colOff>
      <xdr:row>25</xdr:row>
      <xdr:rowOff>0</xdr:rowOff>
    </xdr:from>
    <xdr:to>
      <xdr:col>7</xdr:col>
      <xdr:colOff>1581150</xdr:colOff>
      <xdr:row>26</xdr:row>
      <xdr:rowOff>19050</xdr:rowOff>
    </xdr:to>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5419726" y="6229350"/>
          <a:ext cx="266699" cy="2952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latin typeface="HGP創英角ﾎﾟｯﾌﾟ体" panose="040B0A00000000000000" pitchFamily="50" charset="-128"/>
              <a:ea typeface="HGP創英角ﾎﾟｯﾌﾟ体" panose="040B0A00000000000000" pitchFamily="50" charset="-128"/>
            </a:rPr>
            <a:t>②</a:t>
          </a:r>
        </a:p>
      </xdr:txBody>
    </xdr:sp>
    <xdr:clientData/>
  </xdr:twoCellAnchor>
  <xdr:twoCellAnchor>
    <xdr:from>
      <xdr:col>8</xdr:col>
      <xdr:colOff>85725</xdr:colOff>
      <xdr:row>15</xdr:row>
      <xdr:rowOff>19050</xdr:rowOff>
    </xdr:from>
    <xdr:to>
      <xdr:col>25</xdr:col>
      <xdr:colOff>9525</xdr:colOff>
      <xdr:row>17</xdr:row>
      <xdr:rowOff>66675</xdr:rowOff>
    </xdr:to>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6248400" y="3486150"/>
          <a:ext cx="3590925" cy="600075"/>
        </a:xfrm>
        <a:prstGeom prst="rect">
          <a:avLst/>
        </a:prstGeom>
        <a:solidFill>
          <a:schemeClr val="lt1"/>
        </a:solidFill>
        <a:ln w="285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t>領収書のまとめ方</a:t>
          </a:r>
        </a:p>
      </xdr:txBody>
    </xdr:sp>
    <xdr:clientData/>
  </xdr:twoCellAnchor>
  <xdr:twoCellAnchor>
    <xdr:from>
      <xdr:col>8</xdr:col>
      <xdr:colOff>1019175</xdr:colOff>
      <xdr:row>17</xdr:row>
      <xdr:rowOff>142875</xdr:rowOff>
    </xdr:from>
    <xdr:to>
      <xdr:col>31</xdr:col>
      <xdr:colOff>57150</xdr:colOff>
      <xdr:row>19</xdr:row>
      <xdr:rowOff>219075</xdr:rowOff>
    </xdr:to>
    <xdr:sp macro="" textlink="">
      <xdr:nvSpPr>
        <xdr:cNvPr id="16" name="テキスト ボックス 15">
          <a:extLst>
            <a:ext uri="{FF2B5EF4-FFF2-40B4-BE49-F238E27FC236}">
              <a16:creationId xmlns:a16="http://schemas.microsoft.com/office/drawing/2014/main" id="{00000000-0008-0000-0100-000010000000}"/>
            </a:ext>
          </a:extLst>
        </xdr:cNvPr>
        <xdr:cNvSpPr txBox="1"/>
      </xdr:nvSpPr>
      <xdr:spPr>
        <a:xfrm>
          <a:off x="7181850" y="4162425"/>
          <a:ext cx="3448050" cy="628650"/>
        </a:xfrm>
        <a:prstGeom prst="rect">
          <a:avLst/>
        </a:prstGeom>
        <a:solidFill>
          <a:schemeClr val="accen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100">
              <a:solidFill>
                <a:schemeClr val="bg1"/>
              </a:solidFill>
              <a:effectLst/>
              <a:latin typeface="Meiryo UI" panose="020B0604030504040204" pitchFamily="50" charset="-128"/>
              <a:ea typeface="Meiryo UI" panose="020B0604030504040204" pitchFamily="50" charset="-128"/>
              <a:cs typeface="+mn-cs"/>
            </a:rPr>
            <a:t>・</a:t>
          </a:r>
          <a:r>
            <a:rPr kumimoji="1" lang="ja-JP" altLang="ja-JP" sz="1100">
              <a:solidFill>
                <a:schemeClr val="bg1"/>
              </a:solidFill>
              <a:effectLst/>
              <a:latin typeface="Meiryo UI" panose="020B0604030504040204" pitchFamily="50" charset="-128"/>
              <a:ea typeface="Meiryo UI" panose="020B0604030504040204" pitchFamily="50" charset="-128"/>
              <a:cs typeface="+mn-cs"/>
            </a:rPr>
            <a:t>費目ごと</a:t>
          </a:r>
          <a:r>
            <a:rPr kumimoji="1" lang="ja-JP" altLang="en-US" sz="1100">
              <a:solidFill>
                <a:schemeClr val="bg1"/>
              </a:solidFill>
              <a:effectLst/>
              <a:latin typeface="Meiryo UI" panose="020B0604030504040204" pitchFamily="50" charset="-128"/>
              <a:ea typeface="Meiryo UI" panose="020B0604030504040204" pitchFamily="50" charset="-128"/>
              <a:cs typeface="+mn-cs"/>
            </a:rPr>
            <a:t>に</a:t>
          </a:r>
          <a:r>
            <a:rPr kumimoji="1" lang="ja-JP" altLang="ja-JP" sz="1100">
              <a:solidFill>
                <a:schemeClr val="bg1"/>
              </a:solidFill>
              <a:effectLst/>
              <a:latin typeface="Meiryo UI" panose="020B0604030504040204" pitchFamily="50" charset="-128"/>
              <a:ea typeface="Meiryo UI" panose="020B0604030504040204" pitchFamily="50" charset="-128"/>
              <a:cs typeface="+mn-cs"/>
            </a:rPr>
            <a:t>、</a:t>
          </a:r>
          <a:r>
            <a:rPr kumimoji="1" lang="en-US" altLang="ja-JP" sz="1100">
              <a:solidFill>
                <a:schemeClr val="bg1"/>
              </a:solidFill>
              <a:latin typeface="Meiryo UI" panose="020B0604030504040204" pitchFamily="50" charset="-128"/>
              <a:ea typeface="Meiryo UI" panose="020B0604030504040204" pitchFamily="50" charset="-128"/>
            </a:rPr>
            <a:t>A</a:t>
          </a:r>
          <a:r>
            <a:rPr kumimoji="1" lang="ja-JP" altLang="en-US" sz="1100">
              <a:solidFill>
                <a:schemeClr val="bg1"/>
              </a:solidFill>
              <a:latin typeface="Meiryo UI" panose="020B0604030504040204" pitchFamily="50" charset="-128"/>
              <a:ea typeface="Meiryo UI" panose="020B0604030504040204" pitchFamily="50" charset="-128"/>
            </a:rPr>
            <a:t>４ｻｲｽﾞの用紙に領収書を貼る。</a:t>
          </a:r>
          <a:endParaRPr kumimoji="1" lang="en-US" altLang="ja-JP" sz="1100">
            <a:solidFill>
              <a:schemeClr val="bg1"/>
            </a:solidFill>
            <a:latin typeface="Meiryo UI" panose="020B0604030504040204" pitchFamily="50" charset="-128"/>
            <a:ea typeface="Meiryo UI" panose="020B0604030504040204" pitchFamily="50" charset="-128"/>
          </a:endParaRPr>
        </a:p>
        <a:p>
          <a:r>
            <a:rPr kumimoji="1" lang="ja-JP" altLang="en-US" sz="1100">
              <a:solidFill>
                <a:schemeClr val="bg1"/>
              </a:solidFill>
              <a:latin typeface="Meiryo UI" panose="020B0604030504040204" pitchFamily="50" charset="-128"/>
              <a:ea typeface="Meiryo UI" panose="020B0604030504040204" pitchFamily="50" charset="-128"/>
            </a:rPr>
            <a:t>← 費目を記入する。</a:t>
          </a:r>
        </a:p>
      </xdr:txBody>
    </xdr:sp>
    <xdr:clientData/>
  </xdr:twoCellAnchor>
  <xdr:twoCellAnchor>
    <xdr:from>
      <xdr:col>8</xdr:col>
      <xdr:colOff>47624</xdr:colOff>
      <xdr:row>30</xdr:row>
      <xdr:rowOff>123825</xdr:rowOff>
    </xdr:from>
    <xdr:to>
      <xdr:col>26</xdr:col>
      <xdr:colOff>9525</xdr:colOff>
      <xdr:row>32</xdr:row>
      <xdr:rowOff>257175</xdr:rowOff>
    </xdr:to>
    <xdr:sp macro="" textlink="">
      <xdr:nvSpPr>
        <xdr:cNvPr id="17" name="線吹き出し 2 (枠付き) 16">
          <a:extLst>
            <a:ext uri="{FF2B5EF4-FFF2-40B4-BE49-F238E27FC236}">
              <a16:creationId xmlns:a16="http://schemas.microsoft.com/office/drawing/2014/main" id="{00000000-0008-0000-0100-000011000000}"/>
            </a:ext>
          </a:extLst>
        </xdr:cNvPr>
        <xdr:cNvSpPr/>
      </xdr:nvSpPr>
      <xdr:spPr>
        <a:xfrm>
          <a:off x="6296024" y="7591425"/>
          <a:ext cx="3752851" cy="685800"/>
        </a:xfrm>
        <a:prstGeom prst="borderCallout2">
          <a:avLst>
            <a:gd name="adj1" fmla="val 18750"/>
            <a:gd name="adj2" fmla="val -8333"/>
            <a:gd name="adj3" fmla="val 18750"/>
            <a:gd name="adj4" fmla="val -16667"/>
            <a:gd name="adj5" fmla="val -164027"/>
            <a:gd name="adj6" fmla="val -16356"/>
          </a:avLst>
        </a:prstGeom>
        <a:solidFill>
          <a:schemeClr val="accent1"/>
        </a:solidFill>
        <a:ln w="28575">
          <a:solidFill>
            <a:schemeClr val="accent5"/>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bg1"/>
              </a:solidFill>
              <a:latin typeface="Meiryo UI" panose="020B0604030504040204" pitchFamily="50" charset="-128"/>
              <a:ea typeface="Meiryo UI" panose="020B0604030504040204" pitchFamily="50" charset="-128"/>
            </a:rPr>
            <a:t>費目の領収書ごとに①から連番を記入する。</a:t>
          </a:r>
          <a:endParaRPr kumimoji="1" lang="en-US" altLang="ja-JP" sz="1100">
            <a:solidFill>
              <a:schemeClr val="bg1"/>
            </a:solidFill>
            <a:latin typeface="Meiryo UI" panose="020B0604030504040204" pitchFamily="50" charset="-128"/>
            <a:ea typeface="Meiryo UI" panose="020B0604030504040204" pitchFamily="50" charset="-128"/>
          </a:endParaRPr>
        </a:p>
        <a:p>
          <a:pPr algn="l"/>
          <a:r>
            <a:rPr kumimoji="1" lang="ja-JP" altLang="en-US" sz="1100">
              <a:solidFill>
                <a:schemeClr val="bg1"/>
              </a:solidFill>
              <a:latin typeface="Meiryo UI" panose="020B0604030504040204" pitchFamily="50" charset="-128"/>
              <a:ea typeface="Meiryo UI" panose="020B0604030504040204" pitchFamily="50" charset="-128"/>
            </a:rPr>
            <a:t>費目の連番の数値と、表の</a:t>
          </a:r>
          <a:r>
            <a:rPr kumimoji="1" lang="en-US" altLang="ja-JP" sz="1100">
              <a:solidFill>
                <a:schemeClr val="bg1"/>
              </a:solidFill>
              <a:latin typeface="Meiryo UI" panose="020B0604030504040204" pitchFamily="50" charset="-128"/>
              <a:ea typeface="Meiryo UI" panose="020B0604030504040204" pitchFamily="50" charset="-128"/>
            </a:rPr>
            <a:t>No.</a:t>
          </a:r>
          <a:r>
            <a:rPr kumimoji="1" lang="ja-JP" altLang="en-US" sz="1100">
              <a:solidFill>
                <a:schemeClr val="bg1"/>
              </a:solidFill>
              <a:latin typeface="Meiryo UI" panose="020B0604030504040204" pitchFamily="50" charset="-128"/>
              <a:ea typeface="Meiryo UI" panose="020B0604030504040204" pitchFamily="50" charset="-128"/>
            </a:rPr>
            <a:t> の数値を一致させること。</a:t>
          </a:r>
        </a:p>
      </xdr:txBody>
    </xdr:sp>
    <xdr:clientData/>
  </xdr:twoCellAnchor>
  <xdr:twoCellAnchor>
    <xdr:from>
      <xdr:col>7</xdr:col>
      <xdr:colOff>981075</xdr:colOff>
      <xdr:row>5</xdr:row>
      <xdr:rowOff>133350</xdr:rowOff>
    </xdr:from>
    <xdr:to>
      <xdr:col>7</xdr:col>
      <xdr:colOff>1476376</xdr:colOff>
      <xdr:row>20</xdr:row>
      <xdr:rowOff>0</xdr:rowOff>
    </xdr:to>
    <xdr:cxnSp macro="">
      <xdr:nvCxnSpPr>
        <xdr:cNvPr id="19" name="直線矢印コネクタ 18">
          <a:extLst>
            <a:ext uri="{FF2B5EF4-FFF2-40B4-BE49-F238E27FC236}">
              <a16:creationId xmlns:a16="http://schemas.microsoft.com/office/drawing/2014/main" id="{00000000-0008-0000-0100-000013000000}"/>
            </a:ext>
          </a:extLst>
        </xdr:cNvPr>
        <xdr:cNvCxnSpPr/>
      </xdr:nvCxnSpPr>
      <xdr:spPr>
        <a:xfrm flipH="1" flipV="1">
          <a:off x="5086350" y="838200"/>
          <a:ext cx="495301" cy="4010025"/>
        </a:xfrm>
        <a:prstGeom prst="straightConnector1">
          <a:avLst/>
        </a:prstGeom>
        <a:ln w="571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581025</xdr:colOff>
      <xdr:row>6</xdr:row>
      <xdr:rowOff>133350</xdr:rowOff>
    </xdr:from>
    <xdr:to>
      <xdr:col>7</xdr:col>
      <xdr:colOff>1352551</xdr:colOff>
      <xdr:row>24</xdr:row>
      <xdr:rowOff>195263</xdr:rowOff>
    </xdr:to>
    <xdr:cxnSp macro="">
      <xdr:nvCxnSpPr>
        <xdr:cNvPr id="21" name="直線矢印コネクタ 20">
          <a:extLst>
            <a:ext uri="{FF2B5EF4-FFF2-40B4-BE49-F238E27FC236}">
              <a16:creationId xmlns:a16="http://schemas.microsoft.com/office/drawing/2014/main" id="{00000000-0008-0000-0100-000015000000}"/>
            </a:ext>
          </a:extLst>
        </xdr:cNvPr>
        <xdr:cNvCxnSpPr>
          <a:stCxn id="2" idx="0"/>
        </xdr:cNvCxnSpPr>
      </xdr:nvCxnSpPr>
      <xdr:spPr>
        <a:xfrm flipH="1" flipV="1">
          <a:off x="4772025" y="971550"/>
          <a:ext cx="771526" cy="5033963"/>
        </a:xfrm>
        <a:prstGeom prst="straightConnector1">
          <a:avLst/>
        </a:prstGeom>
        <a:ln w="571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69850</xdr:colOff>
      <xdr:row>9</xdr:row>
      <xdr:rowOff>9525</xdr:rowOff>
    </xdr:from>
    <xdr:to>
      <xdr:col>3</xdr:col>
      <xdr:colOff>22225</xdr:colOff>
      <xdr:row>13</xdr:row>
      <xdr:rowOff>66675</xdr:rowOff>
    </xdr:to>
    <xdr:sp macro="" textlink="">
      <xdr:nvSpPr>
        <xdr:cNvPr id="25" name="線吹き出し 1 (枠付き) 24">
          <a:extLst>
            <a:ext uri="{FF2B5EF4-FFF2-40B4-BE49-F238E27FC236}">
              <a16:creationId xmlns:a16="http://schemas.microsoft.com/office/drawing/2014/main" id="{00000000-0008-0000-0100-000019000000}"/>
            </a:ext>
          </a:extLst>
        </xdr:cNvPr>
        <xdr:cNvSpPr/>
      </xdr:nvSpPr>
      <xdr:spPr>
        <a:xfrm flipH="1">
          <a:off x="69850" y="1644650"/>
          <a:ext cx="1698625" cy="1136650"/>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補助金支払願</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活動規模</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の申請で既に領収書を提出しているものは、「規模</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69850</xdr:colOff>
      <xdr:row>13</xdr:row>
      <xdr:rowOff>133350</xdr:rowOff>
    </xdr:from>
    <xdr:to>
      <xdr:col>3</xdr:col>
      <xdr:colOff>22225</xdr:colOff>
      <xdr:row>17</xdr:row>
      <xdr:rowOff>190500</xdr:rowOff>
    </xdr:to>
    <xdr:sp macro="" textlink="">
      <xdr:nvSpPr>
        <xdr:cNvPr id="26" name="線吹き出し 1 (枠付き) 25">
          <a:extLst>
            <a:ext uri="{FF2B5EF4-FFF2-40B4-BE49-F238E27FC236}">
              <a16:creationId xmlns:a16="http://schemas.microsoft.com/office/drawing/2014/main" id="{00000000-0008-0000-0100-00001A000000}"/>
            </a:ext>
          </a:extLst>
        </xdr:cNvPr>
        <xdr:cNvSpPr/>
      </xdr:nvSpPr>
      <xdr:spPr>
        <a:xfrm flipH="1">
          <a:off x="69850" y="2847975"/>
          <a:ext cx="1698625" cy="1136650"/>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正課外の企画に対する経費補助の申請で既に領収書を提出しているものは、「正課外</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31750</xdr:colOff>
      <xdr:row>21</xdr:row>
      <xdr:rowOff>257175</xdr:rowOff>
    </xdr:from>
    <xdr:to>
      <xdr:col>2</xdr:col>
      <xdr:colOff>1603375</xdr:colOff>
      <xdr:row>26</xdr:row>
      <xdr:rowOff>38100</xdr:rowOff>
    </xdr:to>
    <xdr:sp macro="" textlink="">
      <xdr:nvSpPr>
        <xdr:cNvPr id="27" name="線吹き出し 1 (枠付き) 26">
          <a:extLst>
            <a:ext uri="{FF2B5EF4-FFF2-40B4-BE49-F238E27FC236}">
              <a16:creationId xmlns:a16="http://schemas.microsoft.com/office/drawing/2014/main" id="{00000000-0008-0000-0100-00001B000000}"/>
            </a:ext>
          </a:extLst>
        </xdr:cNvPr>
        <xdr:cNvSpPr/>
      </xdr:nvSpPr>
      <xdr:spPr>
        <a:xfrm flipH="1">
          <a:off x="31750" y="5130800"/>
          <a:ext cx="1698625" cy="1130300"/>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補助金支払願</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活動実態</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の申請で既に領収書を提出しているものは、「実態</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79375</xdr:colOff>
      <xdr:row>5</xdr:row>
      <xdr:rowOff>247650</xdr:rowOff>
    </xdr:from>
    <xdr:to>
      <xdr:col>3</xdr:col>
      <xdr:colOff>69850</xdr:colOff>
      <xdr:row>8</xdr:row>
      <xdr:rowOff>0</xdr:rowOff>
    </xdr:to>
    <xdr:sp macro="" textlink="">
      <xdr:nvSpPr>
        <xdr:cNvPr id="28" name="線吹き出し 1 (枠付き) 27">
          <a:extLst>
            <a:ext uri="{FF2B5EF4-FFF2-40B4-BE49-F238E27FC236}">
              <a16:creationId xmlns:a16="http://schemas.microsoft.com/office/drawing/2014/main" id="{00000000-0008-0000-0100-00001C000000}"/>
            </a:ext>
          </a:extLst>
        </xdr:cNvPr>
        <xdr:cNvSpPr/>
      </xdr:nvSpPr>
      <xdr:spPr>
        <a:xfrm flipH="1">
          <a:off x="79375" y="803275"/>
          <a:ext cx="1736725" cy="561975"/>
        </a:xfrm>
        <a:prstGeom prst="borderCallout1">
          <a:avLst>
            <a:gd name="adj1" fmla="val 15210"/>
            <a:gd name="adj2" fmla="val -1016"/>
            <a:gd name="adj3" fmla="val -13229"/>
            <a:gd name="adj4" fmla="val -1039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決算書で提出する領収書は「</a:t>
          </a:r>
          <a:r>
            <a:rPr kumimoji="1" lang="en-US" altLang="ja-JP" sz="1000">
              <a:latin typeface="Meiryo UI" panose="020B0604030504040204" pitchFamily="50" charset="-128"/>
              <a:ea typeface="Meiryo UI" panose="020B0604030504040204" pitchFamily="50" charset="-128"/>
            </a:rPr>
            <a:t>1</a:t>
          </a:r>
          <a:r>
            <a:rPr kumimoji="1" lang="ja-JP" altLang="en-US" sz="1000">
              <a:latin typeface="Meiryo UI" panose="020B0604030504040204" pitchFamily="50" charset="-128"/>
              <a:ea typeface="Meiryo UI" panose="020B0604030504040204" pitchFamily="50" charset="-128"/>
            </a:rPr>
            <a:t>」～の連番で入力。</a:t>
          </a:r>
        </a:p>
      </xdr:txBody>
    </xdr:sp>
    <xdr:clientData/>
  </xdr:twoCellAnchor>
  <xdr:twoCellAnchor>
    <xdr:from>
      <xdr:col>1</xdr:col>
      <xdr:colOff>31750</xdr:colOff>
      <xdr:row>36</xdr:row>
      <xdr:rowOff>0</xdr:rowOff>
    </xdr:from>
    <xdr:to>
      <xdr:col>2</xdr:col>
      <xdr:colOff>1603375</xdr:colOff>
      <xdr:row>38</xdr:row>
      <xdr:rowOff>228600</xdr:rowOff>
    </xdr:to>
    <xdr:sp macro="" textlink="">
      <xdr:nvSpPr>
        <xdr:cNvPr id="30" name="線吹き出し 1 (枠付き) 29">
          <a:extLst>
            <a:ext uri="{FF2B5EF4-FFF2-40B4-BE49-F238E27FC236}">
              <a16:creationId xmlns:a16="http://schemas.microsoft.com/office/drawing/2014/main" id="{00000000-0008-0000-0100-00001E000000}"/>
            </a:ext>
          </a:extLst>
        </xdr:cNvPr>
        <xdr:cNvSpPr/>
      </xdr:nvSpPr>
      <xdr:spPr>
        <a:xfrm flipH="1">
          <a:off x="117475" y="9124950"/>
          <a:ext cx="1695450" cy="781050"/>
        </a:xfrm>
        <a:prstGeom prst="borderCallout1">
          <a:avLst>
            <a:gd name="adj1" fmla="val 15210"/>
            <a:gd name="adj2" fmla="val -1016"/>
            <a:gd name="adj3" fmla="val 79394"/>
            <a:gd name="adj4" fmla="val -9270"/>
          </a:avLst>
        </a:prstGeom>
        <a:ln w="28575">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入力行が足りない場合は、各自で行を挿入</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追加</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して入力してください。</a:t>
          </a:r>
        </a:p>
      </xdr:txBody>
    </xdr:sp>
    <xdr:clientData/>
  </xdr:twoCellAnchor>
  <xdr:twoCellAnchor>
    <xdr:from>
      <xdr:col>1</xdr:col>
      <xdr:colOff>60325</xdr:colOff>
      <xdr:row>47</xdr:row>
      <xdr:rowOff>161925</xdr:rowOff>
    </xdr:from>
    <xdr:to>
      <xdr:col>3</xdr:col>
      <xdr:colOff>12700</xdr:colOff>
      <xdr:row>50</xdr:row>
      <xdr:rowOff>66675</xdr:rowOff>
    </xdr:to>
    <xdr:sp macro="" textlink="">
      <xdr:nvSpPr>
        <xdr:cNvPr id="32" name="線吹き出し 1 (枠付き) 31">
          <a:extLst>
            <a:ext uri="{FF2B5EF4-FFF2-40B4-BE49-F238E27FC236}">
              <a16:creationId xmlns:a16="http://schemas.microsoft.com/office/drawing/2014/main" id="{00000000-0008-0000-0100-000020000000}"/>
            </a:ext>
          </a:extLst>
        </xdr:cNvPr>
        <xdr:cNvSpPr/>
      </xdr:nvSpPr>
      <xdr:spPr>
        <a:xfrm flipH="1">
          <a:off x="60325" y="12592050"/>
          <a:ext cx="1698625" cy="714375"/>
        </a:xfrm>
        <a:prstGeom prst="borderCallout1">
          <a:avLst>
            <a:gd name="adj1" fmla="val 15210"/>
            <a:gd name="adj2" fmla="val -1016"/>
            <a:gd name="adj3" fmla="val -38788"/>
            <a:gd name="adj4" fmla="val 13764"/>
          </a:avLst>
        </a:prstGeom>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Meiryo UI" panose="020B0604030504040204" pitchFamily="50" charset="-128"/>
              <a:ea typeface="Meiryo UI" panose="020B0604030504040204" pitchFamily="50" charset="-128"/>
            </a:rPr>
            <a:t>足りない費目は各自で追加してください。</a:t>
          </a:r>
        </a:p>
      </xdr:txBody>
    </xdr:sp>
    <xdr:clientData/>
  </xdr:twoCellAnchor>
  <xdr:twoCellAnchor editAs="oneCell">
    <xdr:from>
      <xdr:col>1</xdr:col>
      <xdr:colOff>0</xdr:colOff>
      <xdr:row>42</xdr:row>
      <xdr:rowOff>190500</xdr:rowOff>
    </xdr:from>
    <xdr:to>
      <xdr:col>12</xdr:col>
      <xdr:colOff>76200</xdr:colOff>
      <xdr:row>43</xdr:row>
      <xdr:rowOff>79257</xdr:rowOff>
    </xdr:to>
    <xdr:pic>
      <xdr:nvPicPr>
        <xdr:cNvPr id="33" name="図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1668125"/>
          <a:ext cx="8296275" cy="164982"/>
        </a:xfrm>
        <a:prstGeom prst="rect">
          <a:avLst/>
        </a:prstGeom>
      </xdr:spPr>
    </xdr:pic>
    <xdr:clientData/>
  </xdr:twoCellAnchor>
  <xdr:twoCellAnchor>
    <xdr:from>
      <xdr:col>1</xdr:col>
      <xdr:colOff>28575</xdr:colOff>
      <xdr:row>2</xdr:row>
      <xdr:rowOff>28575</xdr:rowOff>
    </xdr:from>
    <xdr:to>
      <xdr:col>2</xdr:col>
      <xdr:colOff>942975</xdr:colOff>
      <xdr:row>3</xdr:row>
      <xdr:rowOff>0</xdr:rowOff>
    </xdr:to>
    <xdr:sp macro="" textlink="">
      <xdr:nvSpPr>
        <xdr:cNvPr id="36" name="テキスト ボックス 35">
          <a:extLst>
            <a:ext uri="{FF2B5EF4-FFF2-40B4-BE49-F238E27FC236}">
              <a16:creationId xmlns:a16="http://schemas.microsoft.com/office/drawing/2014/main" id="{00000000-0008-0000-0100-000024000000}"/>
            </a:ext>
          </a:extLst>
        </xdr:cNvPr>
        <xdr:cNvSpPr txBox="1"/>
      </xdr:nvSpPr>
      <xdr:spPr>
        <a:xfrm>
          <a:off x="28575" y="28575"/>
          <a:ext cx="1038225" cy="25717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latin typeface="Meiryo UI" panose="020B0604030504040204" pitchFamily="50" charset="-128"/>
              <a:ea typeface="Meiryo UI" panose="020B0604030504040204" pitchFamily="50" charset="-128"/>
            </a:rPr>
            <a:t>入力例</a:t>
          </a:r>
        </a:p>
      </xdr:txBody>
    </xdr:sp>
    <xdr:clientData/>
  </xdr:twoCellAnchor>
  <xdr:twoCellAnchor>
    <xdr:from>
      <xdr:col>8</xdr:col>
      <xdr:colOff>276226</xdr:colOff>
      <xdr:row>48</xdr:row>
      <xdr:rowOff>123824</xdr:rowOff>
    </xdr:from>
    <xdr:to>
      <xdr:col>16</xdr:col>
      <xdr:colOff>85726</xdr:colOff>
      <xdr:row>50</xdr:row>
      <xdr:rowOff>171449</xdr:rowOff>
    </xdr:to>
    <xdr:sp macro="" textlink="">
      <xdr:nvSpPr>
        <xdr:cNvPr id="31" name="線吹き出し 1 (枠付き) 30">
          <a:extLst>
            <a:ext uri="{FF2B5EF4-FFF2-40B4-BE49-F238E27FC236}">
              <a16:creationId xmlns:a16="http://schemas.microsoft.com/office/drawing/2014/main" id="{00000000-0008-0000-0100-00001F000000}"/>
            </a:ext>
          </a:extLst>
        </xdr:cNvPr>
        <xdr:cNvSpPr/>
      </xdr:nvSpPr>
      <xdr:spPr>
        <a:xfrm>
          <a:off x="6524626" y="13392149"/>
          <a:ext cx="2362200" cy="581025"/>
        </a:xfrm>
        <a:prstGeom prst="borderCallout1">
          <a:avLst>
            <a:gd name="adj1" fmla="val 45776"/>
            <a:gd name="adj2" fmla="val 83"/>
            <a:gd name="adj3" fmla="val 46316"/>
            <a:gd name="adj4" fmla="val -140577"/>
          </a:avLst>
        </a:prstGeom>
        <a:ln w="28575">
          <a:head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GCSS</a:t>
          </a:r>
          <a:r>
            <a:rPr kumimoji="1" lang="ja-JP" altLang="en-US" sz="1000">
              <a:latin typeface="Meiryo UI" panose="020B0604030504040204" pitchFamily="50" charset="-128"/>
              <a:ea typeface="Meiryo UI" panose="020B0604030504040204" pitchFamily="50" charset="-128"/>
            </a:rPr>
            <a:t>にて決算書に各費目を入力後</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「支出 ②小計」との一致を確認すること。</a:t>
          </a:r>
        </a:p>
      </xdr:txBody>
    </xdr:sp>
    <xdr:clientData/>
  </xdr:twoCellAnchor>
  <xdr:twoCellAnchor>
    <xdr:from>
      <xdr:col>8</xdr:col>
      <xdr:colOff>1181100</xdr:colOff>
      <xdr:row>10</xdr:row>
      <xdr:rowOff>95250</xdr:rowOff>
    </xdr:from>
    <xdr:to>
      <xdr:col>33</xdr:col>
      <xdr:colOff>63500</xdr:colOff>
      <xdr:row>12</xdr:row>
      <xdr:rowOff>104775</xdr:rowOff>
    </xdr:to>
    <xdr:sp macro="" textlink="">
      <xdr:nvSpPr>
        <xdr:cNvPr id="8" name="線吹き出し 1 (枠付き) 28">
          <a:extLst>
            <a:ext uri="{FF2B5EF4-FFF2-40B4-BE49-F238E27FC236}">
              <a16:creationId xmlns:a16="http://schemas.microsoft.com/office/drawing/2014/main" id="{B064D632-F283-4AEC-995F-A0AD63610C9C}"/>
            </a:ext>
          </a:extLst>
        </xdr:cNvPr>
        <xdr:cNvSpPr/>
      </xdr:nvSpPr>
      <xdr:spPr>
        <a:xfrm>
          <a:off x="7429500" y="2876550"/>
          <a:ext cx="3540125" cy="561975"/>
        </a:xfrm>
        <a:prstGeom prst="borderCallout1">
          <a:avLst>
            <a:gd name="adj1" fmla="val 50694"/>
            <a:gd name="adj2" fmla="val -677"/>
            <a:gd name="adj3" fmla="val 348819"/>
            <a:gd name="adj4" fmla="val -119674"/>
          </a:avLst>
        </a:prstGeom>
        <a:ln w="28575">
          <a:head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latin typeface="Meiryo UI" panose="020B0604030504040204" pitchFamily="50" charset="-128"/>
              <a:ea typeface="Meiryo UI" panose="020B0604030504040204" pitchFamily="50" charset="-128"/>
            </a:rPr>
            <a:t>GCSS</a:t>
          </a:r>
          <a:r>
            <a:rPr kumimoji="1" lang="ja-JP" altLang="en-US" sz="1000">
              <a:latin typeface="Meiryo UI" panose="020B0604030504040204" pitchFamily="50" charset="-128"/>
              <a:ea typeface="Meiryo UI" panose="020B0604030504040204" pitchFamily="50" charset="-128"/>
            </a:rPr>
            <a:t>にて決算書の支出「印刷製本費」の欄に、この金額を入力。</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以下、同様に費目ごとに入力。</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L55"/>
  <sheetViews>
    <sheetView showGridLines="0" zoomScaleNormal="100" workbookViewId="0">
      <selection activeCell="B1" sqref="B1"/>
    </sheetView>
  </sheetViews>
  <sheetFormatPr defaultColWidth="9" defaultRowHeight="21.75" customHeight="1" x14ac:dyDescent="0.2"/>
  <cols>
    <col min="1" max="1" width="1.109375" style="4" customWidth="1"/>
    <col min="2" max="2" width="1.6640625" style="4" customWidth="1"/>
    <col min="3" max="3" width="21.21875" style="4" customWidth="1"/>
    <col min="4" max="4" width="1.6640625" style="4" customWidth="1"/>
    <col min="5" max="5" width="6.6640625" style="2" customWidth="1"/>
    <col min="6" max="6" width="9.109375" style="3" customWidth="1"/>
    <col min="7" max="7" width="13.6640625" style="2" customWidth="1"/>
    <col min="8" max="9" width="27" style="4" customWidth="1"/>
    <col min="10" max="10" width="9.109375" style="4" hidden="1" customWidth="1"/>
    <col min="11" max="11" width="9.109375" style="3" hidden="1" customWidth="1"/>
    <col min="12" max="12" width="35.88671875" style="4" hidden="1" customWidth="1"/>
    <col min="13" max="57" width="1.6640625" style="4" customWidth="1"/>
    <col min="58" max="16384" width="9" style="4"/>
  </cols>
  <sheetData>
    <row r="1" spans="2:12" ht="44.25" customHeight="1" thickBot="1" x14ac:dyDescent="0.25">
      <c r="C1" s="124" t="s">
        <v>37</v>
      </c>
      <c r="D1" s="125"/>
      <c r="E1" s="125"/>
      <c r="F1" s="125"/>
      <c r="G1" s="125"/>
      <c r="H1" s="125"/>
      <c r="I1" s="126"/>
    </row>
    <row r="2" spans="2:12" ht="21.75" customHeight="1" thickBot="1" x14ac:dyDescent="0.25"/>
    <row r="3" spans="2:12" ht="24" thickTop="1" thickBot="1" x14ac:dyDescent="0.25">
      <c r="C3" s="69" t="s">
        <v>32</v>
      </c>
      <c r="D3" s="1" t="s">
        <v>33</v>
      </c>
      <c r="E3" s="120" t="inlineStr">
        <is>
          <t>サンプル団体（架空）</t>
        </is>
      </c>
      <c r="F3" s="120"/>
      <c r="G3" s="120"/>
      <c r="H3" s="120"/>
      <c r="I3" s="108" t="s">
        <v>35</v>
      </c>
      <c r="J3" s="3"/>
    </row>
    <row r="4" spans="2:12" ht="5.25" customHeight="1" thickBot="1" x14ac:dyDescent="0.25">
      <c r="C4" s="1"/>
      <c r="D4" s="1"/>
    </row>
    <row r="5" spans="2:12" ht="15.6" thickBot="1" x14ac:dyDescent="0.25">
      <c r="B5" s="19"/>
      <c r="C5" s="20" t="s">
        <v>0</v>
      </c>
      <c r="D5" s="21"/>
      <c r="E5" s="22" t="s">
        <v>34</v>
      </c>
      <c r="F5" s="23" t="s">
        <v>1</v>
      </c>
      <c r="G5" s="24" t="s">
        <v>2</v>
      </c>
      <c r="H5" s="24" t="s">
        <v>3</v>
      </c>
      <c r="I5" s="26" t="s">
        <v>25</v>
      </c>
      <c r="J5" s="70" t="s">
        <v>20</v>
      </c>
      <c r="K5" s="25" t="s">
        <v>4</v>
      </c>
      <c r="L5" s="26" t="s">
        <v>8</v>
      </c>
    </row>
    <row r="6" spans="2:12" ht="21.75" customHeight="1" x14ac:dyDescent="0.2">
      <c r="B6" s="27" t="s">
        <v>5</v>
      </c>
      <c r="C6" s="28"/>
      <c r="D6" s="29"/>
      <c r="E6" s="88">
        <v>1</v>
      </c>
      <c r="F6" s="89">
        <v>100</v>
      </c>
      <c r="G6" s="90">
        <v>45748</v>
      </c>
      <c r="H6" s="91" t="inlineStr">
        <is>
          <t>サンプル物品1</t>
        </is>
      </c>
      <c r="I6" s="92" t="inlineStr">
        <is>
          <t>架空イベントの記入例</t>
        </is>
      </c>
      <c r="J6" s="71"/>
      <c r="K6" s="67"/>
      <c r="L6" s="9"/>
    </row>
    <row r="7" spans="2:12" ht="21.75" customHeight="1" x14ac:dyDescent="0.2">
      <c r="B7" s="30"/>
      <c r="C7" s="31"/>
      <c r="D7" s="32"/>
      <c r="E7" s="93">
        <v>2</v>
      </c>
      <c r="F7" s="94">
        <v>200</v>
      </c>
      <c r="G7" s="95">
        <v>45749</v>
      </c>
      <c r="H7" s="96" t="inlineStr">
        <is>
          <t>サンプル物品2</t>
        </is>
      </c>
      <c r="I7" s="97" t="inlineStr">
        <is>
          <t>架空イベントの記入例</t>
        </is>
      </c>
      <c r="J7" s="72"/>
      <c r="K7" s="68"/>
      <c r="L7" s="56"/>
    </row>
    <row r="8" spans="2:12" ht="21.75" customHeight="1" thickBot="1" x14ac:dyDescent="0.25">
      <c r="B8" s="33"/>
      <c r="C8" s="34"/>
      <c r="D8" s="35"/>
      <c r="E8" s="57" t="s">
        <v>6</v>
      </c>
      <c r="F8" s="58">
        <f>SUM(F6:F7)</f>
        <v>300</v>
      </c>
      <c r="G8" s="59"/>
      <c r="H8" s="86"/>
      <c r="I8" s="84"/>
      <c r="J8" s="72"/>
      <c r="K8" s="68"/>
      <c r="L8" s="56"/>
    </row>
    <row r="9" spans="2:12" s="1" customFormat="1" ht="21.75" customHeight="1" thickBot="1" x14ac:dyDescent="0.25">
      <c r="B9" s="36" t="s">
        <v>10</v>
      </c>
      <c r="C9" s="37"/>
      <c r="D9" s="38"/>
      <c r="E9" s="88" t="inlineStr">
        <is>
          <t>規模1</t>
        </is>
      </c>
      <c r="F9" s="98">
        <v>300</v>
      </c>
      <c r="G9" s="99">
        <v>45750</v>
      </c>
      <c r="H9" s="91" t="inlineStr">
        <is>
          <t>サンプル物品3</t>
        </is>
      </c>
      <c r="I9" s="100" t="inlineStr">
        <is>
          <t>架空イベントの記入例</t>
        </is>
      </c>
      <c r="J9" s="73">
        <f t="shared" ref="J9:K9" si="0">SUM(J6:J8)</f>
        <v>0</v>
      </c>
      <c r="K9" s="58">
        <f t="shared" si="0"/>
        <v>0</v>
      </c>
      <c r="L9" s="60"/>
    </row>
    <row r="10" spans="2:12" ht="21.75" customHeight="1" x14ac:dyDescent="0.2">
      <c r="B10" s="39"/>
      <c r="C10" s="40"/>
      <c r="D10" s="41"/>
      <c r="E10" s="93" t="inlineStr">
        <is>
          <t>規模2</t>
        </is>
      </c>
      <c r="F10" s="101">
        <v>400</v>
      </c>
      <c r="G10" s="102">
        <v>45751</v>
      </c>
      <c r="H10" s="96" t="inlineStr">
        <is>
          <t>サンプル物品4</t>
        </is>
      </c>
      <c r="I10" s="103" t="inlineStr">
        <is>
          <t>架空イベントの記入例</t>
        </is>
      </c>
      <c r="J10" s="74"/>
      <c r="K10" s="8"/>
      <c r="L10" s="9"/>
    </row>
    <row r="11" spans="2:12" ht="21.75" customHeight="1" x14ac:dyDescent="0.2">
      <c r="B11" s="39"/>
      <c r="C11" s="40"/>
      <c r="D11" s="41"/>
      <c r="E11" s="93" t="inlineStr">
        <is>
          <t>規模3</t>
        </is>
      </c>
      <c r="F11" s="101">
        <v>500</v>
      </c>
      <c r="G11" s="102">
        <v>45752</v>
      </c>
      <c r="H11" s="96" t="inlineStr">
        <is>
          <t>サンプル物品5</t>
        </is>
      </c>
      <c r="I11" s="103" t="inlineStr">
        <is>
          <t>架空イベントの記入例</t>
        </is>
      </c>
      <c r="J11" s="75"/>
      <c r="K11" s="61"/>
      <c r="L11" s="56"/>
    </row>
    <row r="12" spans="2:12" ht="21.75" customHeight="1" x14ac:dyDescent="0.2">
      <c r="B12" s="39"/>
      <c r="C12" s="40"/>
      <c r="D12" s="41"/>
      <c r="E12" s="93" t="inlineStr">
        <is>
          <t>規模4</t>
        </is>
      </c>
      <c r="F12" s="101">
        <v>600</v>
      </c>
      <c r="G12" s="102">
        <v>45753</v>
      </c>
      <c r="H12" s="96" t="inlineStr">
        <is>
          <t>サンプル物品6</t>
        </is>
      </c>
      <c r="I12" s="103" t="inlineStr">
        <is>
          <t>架空イベントの記入例</t>
        </is>
      </c>
      <c r="J12" s="75"/>
      <c r="K12" s="61"/>
      <c r="L12" s="56"/>
    </row>
    <row r="13" spans="2:12" ht="21.75" customHeight="1" x14ac:dyDescent="0.2">
      <c r="B13" s="39"/>
      <c r="C13" s="40"/>
      <c r="D13" s="41"/>
      <c r="E13" s="93" t="inlineStr">
        <is>
          <t>正課外1</t>
        </is>
      </c>
      <c r="F13" s="101">
        <v>700</v>
      </c>
      <c r="G13" s="102">
        <v>45754</v>
      </c>
      <c r="H13" s="96" t="inlineStr">
        <is>
          <t>サンプル物品7</t>
        </is>
      </c>
      <c r="I13" s="103" t="inlineStr">
        <is>
          <t>架空イベントの記入例</t>
        </is>
      </c>
      <c r="J13" s="75"/>
      <c r="K13" s="61"/>
      <c r="L13" s="56"/>
    </row>
    <row r="14" spans="2:12" ht="21.75" customHeight="1" x14ac:dyDescent="0.2">
      <c r="B14" s="39"/>
      <c r="C14" s="40"/>
      <c r="D14" s="41"/>
      <c r="E14" s="93" t="inlineStr">
        <is>
          <t>正課外2</t>
        </is>
      </c>
      <c r="F14" s="101">
        <v>800</v>
      </c>
      <c r="G14" s="102">
        <v>45755</v>
      </c>
      <c r="H14" s="96" t="inlineStr">
        <is>
          <t>サンプル物品8</t>
        </is>
      </c>
      <c r="I14" s="103" t="inlineStr">
        <is>
          <t>架空イベントの記入例</t>
        </is>
      </c>
      <c r="J14" s="75"/>
      <c r="K14" s="61"/>
      <c r="L14" s="56"/>
    </row>
    <row r="15" spans="2:12" ht="21.75" customHeight="1" x14ac:dyDescent="0.2">
      <c r="B15" s="39"/>
      <c r="C15" s="40"/>
      <c r="D15" s="41"/>
      <c r="E15" s="93" t="inlineStr">
        <is>
          <t>正課外3</t>
        </is>
      </c>
      <c r="F15" s="101">
        <v>900</v>
      </c>
      <c r="G15" s="102">
        <v>45756</v>
      </c>
      <c r="H15" s="96" t="inlineStr">
        <is>
          <t>サンプル物品9</t>
        </is>
      </c>
      <c r="I15" s="103" t="inlineStr">
        <is>
          <t>架空イベントの記入例</t>
        </is>
      </c>
      <c r="J15" s="75"/>
      <c r="K15" s="61"/>
      <c r="L15" s="56"/>
    </row>
    <row r="16" spans="2:12" ht="21.75" customHeight="1" x14ac:dyDescent="0.2">
      <c r="B16" s="39"/>
      <c r="C16" s="40"/>
      <c r="D16" s="41"/>
      <c r="E16" s="93"/>
      <c r="F16" s="101"/>
      <c r="G16" s="102"/>
      <c r="H16" s="96"/>
      <c r="I16" s="103"/>
      <c r="J16" s="75"/>
      <c r="K16" s="61"/>
      <c r="L16" s="56"/>
    </row>
    <row r="17" spans="2:12" ht="21.75" customHeight="1" x14ac:dyDescent="0.2">
      <c r="B17" s="39"/>
      <c r="C17" s="40"/>
      <c r="D17" s="41"/>
      <c r="E17" s="93"/>
      <c r="F17" s="101"/>
      <c r="G17" s="102"/>
      <c r="H17" s="96"/>
      <c r="I17" s="103"/>
      <c r="J17" s="75"/>
      <c r="K17" s="61"/>
      <c r="L17" s="56"/>
    </row>
    <row r="18" spans="2:12" ht="21.75" customHeight="1" thickBot="1" x14ac:dyDescent="0.25">
      <c r="B18" s="33"/>
      <c r="C18" s="34"/>
      <c r="D18" s="35"/>
      <c r="E18" s="57" t="s">
        <v>6</v>
      </c>
      <c r="F18" s="58">
        <f>SUM(F9:F17)</f>
        <v>4200</v>
      </c>
      <c r="G18" s="59"/>
      <c r="H18" s="86"/>
      <c r="I18" s="84"/>
      <c r="J18" s="75"/>
      <c r="K18" s="61"/>
      <c r="L18" s="56"/>
    </row>
    <row r="19" spans="2:12" s="1" customFormat="1" ht="21.75" customHeight="1" thickBot="1" x14ac:dyDescent="0.25">
      <c r="B19" s="36" t="s">
        <v>9</v>
      </c>
      <c r="C19" s="37"/>
      <c r="D19" s="38"/>
      <c r="E19" s="88"/>
      <c r="F19" s="98"/>
      <c r="G19" s="99"/>
      <c r="H19" s="91"/>
      <c r="I19" s="100"/>
      <c r="J19" s="73">
        <f t="shared" ref="J19:K19" si="1">SUM(J10:J18)</f>
        <v>0</v>
      </c>
      <c r="K19" s="58">
        <f t="shared" si="1"/>
        <v>0</v>
      </c>
      <c r="L19" s="60"/>
    </row>
    <row r="20" spans="2:12" ht="21.75" customHeight="1" x14ac:dyDescent="0.2">
      <c r="B20" s="39"/>
      <c r="C20" s="40"/>
      <c r="D20" s="41"/>
      <c r="E20" s="93"/>
      <c r="F20" s="101"/>
      <c r="G20" s="102"/>
      <c r="H20" s="96"/>
      <c r="I20" s="103"/>
      <c r="J20" s="74"/>
      <c r="K20" s="8"/>
      <c r="L20" s="9"/>
    </row>
    <row r="21" spans="2:12" ht="21.75" customHeight="1" thickBot="1" x14ac:dyDescent="0.25">
      <c r="B21" s="33"/>
      <c r="C21" s="34"/>
      <c r="D21" s="35"/>
      <c r="E21" s="57" t="s">
        <v>6</v>
      </c>
      <c r="F21" s="58">
        <f>SUM(F19:F20)</f>
        <v>0</v>
      </c>
      <c r="G21" s="59"/>
      <c r="H21" s="86"/>
      <c r="I21" s="84"/>
      <c r="J21" s="75"/>
      <c r="K21" s="61"/>
      <c r="L21" s="56"/>
    </row>
    <row r="22" spans="2:12" s="1" customFormat="1" ht="21.75" customHeight="1" thickBot="1" x14ac:dyDescent="0.25">
      <c r="B22" s="36" t="s">
        <v>17</v>
      </c>
      <c r="C22" s="37"/>
      <c r="D22" s="38"/>
      <c r="E22" s="88" t="inlineStr">
        <is>
          <t>実態1</t>
        </is>
      </c>
      <c r="F22" s="98">
        <v>1000</v>
      </c>
      <c r="G22" s="99">
        <v>45757</v>
      </c>
      <c r="H22" s="91" t="inlineStr">
        <is>
          <t>サンプル物品10</t>
        </is>
      </c>
      <c r="I22" s="100" t="inlineStr">
        <is>
          <t>架空イベントの記入例</t>
        </is>
      </c>
      <c r="J22" s="73">
        <f t="shared" ref="J22:K22" si="2">SUM(J20:J21)</f>
        <v>0</v>
      </c>
      <c r="K22" s="58">
        <f t="shared" si="2"/>
        <v>0</v>
      </c>
      <c r="L22" s="60"/>
    </row>
    <row r="23" spans="2:12" ht="21.75" customHeight="1" x14ac:dyDescent="0.2">
      <c r="B23" s="39"/>
      <c r="C23" s="40"/>
      <c r="D23" s="41"/>
      <c r="E23" s="93" t="inlineStr">
        <is>
          <t>実態2</t>
        </is>
      </c>
      <c r="F23" s="101">
        <v>1100</v>
      </c>
      <c r="G23" s="102">
        <v>45758</v>
      </c>
      <c r="H23" s="96" t="inlineStr">
        <is>
          <t>サンプル物品11</t>
        </is>
      </c>
      <c r="I23" s="103" t="inlineStr">
        <is>
          <t>架空イベントの記入例</t>
        </is>
      </c>
      <c r="J23" s="74"/>
      <c r="K23" s="8"/>
      <c r="L23" s="7"/>
    </row>
    <row r="24" spans="2:12" ht="21.75" customHeight="1" x14ac:dyDescent="0.2">
      <c r="B24" s="39"/>
      <c r="C24" s="40"/>
      <c r="D24" s="41"/>
      <c r="E24" s="93"/>
      <c r="F24" s="101"/>
      <c r="G24" s="102"/>
      <c r="H24" s="96"/>
      <c r="I24" s="103"/>
      <c r="J24" s="75"/>
      <c r="K24" s="61"/>
      <c r="L24" s="62"/>
    </row>
    <row r="25" spans="2:12" ht="21.75" customHeight="1" x14ac:dyDescent="0.2">
      <c r="B25" s="39"/>
      <c r="C25" s="40"/>
      <c r="D25" s="41"/>
      <c r="E25" s="93"/>
      <c r="F25" s="101"/>
      <c r="G25" s="102"/>
      <c r="H25" s="96"/>
      <c r="I25" s="103"/>
      <c r="J25" s="75"/>
      <c r="K25" s="61"/>
      <c r="L25" s="56"/>
    </row>
    <row r="26" spans="2:12" ht="21.75" customHeight="1" thickBot="1" x14ac:dyDescent="0.25">
      <c r="B26" s="33"/>
      <c r="C26" s="34"/>
      <c r="D26" s="35"/>
      <c r="E26" s="57" t="s">
        <v>6</v>
      </c>
      <c r="F26" s="58">
        <f>SUM(F22:F25)</f>
        <v>2100</v>
      </c>
      <c r="G26" s="59"/>
      <c r="H26" s="86"/>
      <c r="I26" s="84"/>
      <c r="J26" s="75"/>
      <c r="K26" s="61"/>
      <c r="L26" s="56"/>
    </row>
    <row r="27" spans="2:12" s="1" customFormat="1" ht="21.75" customHeight="1" thickBot="1" x14ac:dyDescent="0.25">
      <c r="B27" s="121" t="s">
        <v>26</v>
      </c>
      <c r="C27" s="122"/>
      <c r="D27" s="123"/>
      <c r="E27" s="88"/>
      <c r="F27" s="98"/>
      <c r="G27" s="99"/>
      <c r="H27" s="91"/>
      <c r="I27" s="100"/>
      <c r="J27" s="73">
        <f t="shared" ref="J27:K27" si="3">SUM(J23:J26)</f>
        <v>0</v>
      </c>
      <c r="K27" s="58">
        <f t="shared" si="3"/>
        <v>0</v>
      </c>
      <c r="L27" s="60"/>
    </row>
    <row r="28" spans="2:12" s="1" customFormat="1" ht="21.75" customHeight="1" x14ac:dyDescent="0.2">
      <c r="B28" s="50"/>
      <c r="C28" s="51"/>
      <c r="D28" s="52"/>
      <c r="E28" s="93"/>
      <c r="F28" s="101"/>
      <c r="G28" s="102"/>
      <c r="H28" s="96"/>
      <c r="I28" s="103"/>
      <c r="J28" s="74"/>
      <c r="K28" s="8"/>
      <c r="L28" s="9"/>
    </row>
    <row r="29" spans="2:12" s="1" customFormat="1" ht="21.75" customHeight="1" thickBot="1" x14ac:dyDescent="0.25">
      <c r="B29" s="33"/>
      <c r="C29" s="34"/>
      <c r="D29" s="35"/>
      <c r="E29" s="57" t="s">
        <v>6</v>
      </c>
      <c r="F29" s="58">
        <f>SUM(F27:F28)</f>
        <v>0</v>
      </c>
      <c r="G29" s="59"/>
      <c r="H29" s="86"/>
      <c r="I29" s="84"/>
      <c r="J29" s="75"/>
      <c r="K29" s="61"/>
      <c r="L29" s="56"/>
    </row>
    <row r="30" spans="2:12" s="1" customFormat="1" ht="21.75" customHeight="1" thickBot="1" x14ac:dyDescent="0.25">
      <c r="B30" s="36" t="s">
        <v>23</v>
      </c>
      <c r="C30" s="42"/>
      <c r="D30" s="43"/>
      <c r="E30" s="88"/>
      <c r="F30" s="98"/>
      <c r="G30" s="99"/>
      <c r="H30" s="91"/>
      <c r="I30" s="100"/>
      <c r="J30" s="73">
        <f t="shared" ref="J30" si="4">SUM(J28:J29)</f>
        <v>0</v>
      </c>
      <c r="K30" s="58">
        <f t="shared" ref="K30" si="5">SUM(K28:K29)</f>
        <v>0</v>
      </c>
      <c r="L30" s="60"/>
    </row>
    <row r="31" spans="2:12" s="1" customFormat="1" ht="21.75" customHeight="1" x14ac:dyDescent="0.2">
      <c r="B31" s="39"/>
      <c r="C31" s="53"/>
      <c r="D31" s="54"/>
      <c r="E31" s="93"/>
      <c r="F31" s="101"/>
      <c r="G31" s="102"/>
      <c r="H31" s="96"/>
      <c r="I31" s="103"/>
      <c r="J31" s="74"/>
      <c r="K31" s="8"/>
      <c r="L31" s="9"/>
    </row>
    <row r="32" spans="2:12" s="1" customFormat="1" ht="21.75" customHeight="1" thickBot="1" x14ac:dyDescent="0.25">
      <c r="B32" s="33"/>
      <c r="C32" s="34"/>
      <c r="D32" s="35"/>
      <c r="E32" s="57" t="s">
        <v>6</v>
      </c>
      <c r="F32" s="58">
        <f>SUM(F30:F31)</f>
        <v>0</v>
      </c>
      <c r="G32" s="59"/>
      <c r="H32" s="86"/>
      <c r="I32" s="84"/>
      <c r="J32" s="75"/>
      <c r="K32" s="61"/>
      <c r="L32" s="56"/>
    </row>
    <row r="33" spans="2:12" s="1" customFormat="1" ht="21.75" customHeight="1" thickBot="1" x14ac:dyDescent="0.25">
      <c r="B33" s="36" t="s">
        <v>24</v>
      </c>
      <c r="C33" s="37"/>
      <c r="D33" s="38"/>
      <c r="E33" s="88">
        <v>1</v>
      </c>
      <c r="F33" s="89">
        <v>1200</v>
      </c>
      <c r="G33" s="90">
        <v>45759</v>
      </c>
      <c r="H33" s="91" t="inlineStr">
        <is>
          <t>サンプル物品12</t>
        </is>
      </c>
      <c r="I33" s="100" t="inlineStr">
        <is>
          <t>架空イベントの記入例</t>
        </is>
      </c>
      <c r="J33" s="73">
        <f t="shared" ref="J33" si="6">SUM(J31:J32)</f>
        <v>0</v>
      </c>
      <c r="K33" s="58">
        <f t="shared" ref="K33" si="7">SUM(K31:K32)</f>
        <v>0</v>
      </c>
      <c r="L33" s="60"/>
    </row>
    <row r="34" spans="2:12" ht="21.75" customHeight="1" x14ac:dyDescent="0.2">
      <c r="B34" s="39"/>
      <c r="C34" s="40"/>
      <c r="D34" s="41"/>
      <c r="E34" s="93"/>
      <c r="F34" s="101"/>
      <c r="G34" s="102"/>
      <c r="H34" s="96"/>
      <c r="I34" s="103"/>
      <c r="J34" s="71"/>
      <c r="K34" s="18"/>
      <c r="L34" s="11"/>
    </row>
    <row r="35" spans="2:12" ht="21.75" customHeight="1" thickBot="1" x14ac:dyDescent="0.25">
      <c r="B35" s="33"/>
      <c r="C35" s="34"/>
      <c r="D35" s="35"/>
      <c r="E35" s="57" t="s">
        <v>6</v>
      </c>
      <c r="F35" s="58">
        <f>SUM(F33:F34)</f>
        <v>1200</v>
      </c>
      <c r="G35" s="59"/>
      <c r="H35" s="86"/>
      <c r="I35" s="84"/>
      <c r="J35" s="75"/>
      <c r="K35" s="61"/>
      <c r="L35" s="56"/>
    </row>
    <row r="36" spans="2:12" s="1" customFormat="1" ht="21.75" customHeight="1" thickBot="1" x14ac:dyDescent="0.25">
      <c r="B36" s="39" t="s">
        <v>22</v>
      </c>
      <c r="C36" s="40"/>
      <c r="D36" s="41"/>
      <c r="E36" s="88" t="inlineStr">
        <is>
          <t>規模1</t>
        </is>
      </c>
      <c r="F36" s="104">
        <v>1300</v>
      </c>
      <c r="G36" s="99">
        <v>45760</v>
      </c>
      <c r="H36" s="91" t="inlineStr">
        <is>
          <t>サンプル物品13</t>
        </is>
      </c>
      <c r="I36" s="100" t="inlineStr">
        <is>
          <t>架空イベントの記入例</t>
        </is>
      </c>
      <c r="J36" s="73">
        <f t="shared" ref="J36:K36" si="8">SUM(J34:J35)</f>
        <v>0</v>
      </c>
      <c r="K36" s="58">
        <f t="shared" si="8"/>
        <v>0</v>
      </c>
      <c r="L36" s="60"/>
    </row>
    <row r="37" spans="2:12" s="1" customFormat="1" ht="21.75" customHeight="1" x14ac:dyDescent="0.2">
      <c r="B37" s="39"/>
      <c r="C37" s="40"/>
      <c r="D37" s="41"/>
      <c r="E37" s="93"/>
      <c r="F37" s="101"/>
      <c r="G37" s="102"/>
      <c r="H37" s="96"/>
      <c r="I37" s="103"/>
      <c r="J37" s="77"/>
      <c r="K37" s="17"/>
      <c r="L37" s="63"/>
    </row>
    <row r="38" spans="2:12" ht="21.75" customHeight="1" x14ac:dyDescent="0.2">
      <c r="B38" s="39"/>
      <c r="C38" s="40"/>
      <c r="D38" s="41"/>
      <c r="E38" s="93"/>
      <c r="F38" s="101"/>
      <c r="G38" s="102"/>
      <c r="H38" s="96"/>
      <c r="I38" s="103"/>
      <c r="J38" s="75"/>
      <c r="K38" s="61"/>
      <c r="L38" s="56"/>
    </row>
    <row r="39" spans="2:12" ht="21.75" customHeight="1" thickBot="1" x14ac:dyDescent="0.25">
      <c r="B39" s="44"/>
      <c r="C39" s="45"/>
      <c r="D39" s="46"/>
      <c r="E39" s="57" t="s">
        <v>6</v>
      </c>
      <c r="F39" s="58">
        <f>SUM(F36:F38)</f>
        <v>1300</v>
      </c>
      <c r="G39" s="59"/>
      <c r="H39" s="86"/>
      <c r="I39" s="84"/>
      <c r="J39" s="75"/>
      <c r="K39" s="61"/>
      <c r="L39" s="56"/>
    </row>
    <row r="40" spans="2:12" s="1" customFormat="1" ht="21.75" customHeight="1" thickBot="1" x14ac:dyDescent="0.25">
      <c r="B40" s="36" t="s">
        <v>11</v>
      </c>
      <c r="C40" s="37"/>
      <c r="D40" s="38"/>
      <c r="E40" s="88" t="inlineStr">
        <is>
          <t>規模1</t>
        </is>
      </c>
      <c r="F40" s="104">
        <v>1400</v>
      </c>
      <c r="G40" s="99">
        <v>45761</v>
      </c>
      <c r="H40" s="91" t="inlineStr">
        <is>
          <t>サンプル物品14</t>
        </is>
      </c>
      <c r="I40" s="100" t="inlineStr">
        <is>
          <t>架空イベントの記入例</t>
        </is>
      </c>
      <c r="J40" s="78">
        <f>SUM(J37:J39)</f>
        <v>0</v>
      </c>
      <c r="K40" s="64">
        <f>SUM(K37:K39)</f>
        <v>0</v>
      </c>
      <c r="L40" s="65"/>
    </row>
    <row r="41" spans="2:12" ht="21.75" customHeight="1" x14ac:dyDescent="0.2">
      <c r="B41" s="39"/>
      <c r="C41" s="40"/>
      <c r="D41" s="41"/>
      <c r="E41" s="93">
        <v>1</v>
      </c>
      <c r="F41" s="105">
        <v>1500</v>
      </c>
      <c r="G41" s="95">
        <v>45762</v>
      </c>
      <c r="H41" s="96" t="inlineStr">
        <is>
          <t>サンプル物品15</t>
        </is>
      </c>
      <c r="I41" s="103" t="inlineStr">
        <is>
          <t>架空イベントの記入例</t>
        </is>
      </c>
      <c r="J41" s="76"/>
      <c r="K41" s="6"/>
      <c r="L41" s="12"/>
    </row>
    <row r="42" spans="2:12" ht="21.75" customHeight="1" x14ac:dyDescent="0.2">
      <c r="B42" s="39"/>
      <c r="C42" s="40"/>
      <c r="D42" s="41"/>
      <c r="E42" s="93"/>
      <c r="F42" s="101"/>
      <c r="G42" s="102"/>
      <c r="H42" s="96"/>
      <c r="I42" s="103"/>
      <c r="J42" s="77"/>
      <c r="K42" s="17"/>
      <c r="L42" s="66"/>
    </row>
    <row r="43" spans="2:12" ht="21.75" customHeight="1" thickBot="1" x14ac:dyDescent="0.25">
      <c r="B43" s="33"/>
      <c r="C43" s="34"/>
      <c r="D43" s="35"/>
      <c r="E43" s="57" t="s">
        <v>6</v>
      </c>
      <c r="F43" s="58">
        <f>SUM(F40:F42)</f>
        <v>2900</v>
      </c>
      <c r="G43" s="59"/>
      <c r="H43" s="86"/>
      <c r="I43" s="84"/>
      <c r="J43" s="75"/>
      <c r="K43" s="61"/>
      <c r="L43" s="56"/>
    </row>
    <row r="44" spans="2:12" ht="21.75" customHeight="1" thickBot="1" x14ac:dyDescent="0.25">
      <c r="B44" s="47" t="s">
        <v>30</v>
      </c>
      <c r="C44" s="106" t="s">
        <v>21</v>
      </c>
      <c r="D44" s="55" t="s">
        <v>31</v>
      </c>
      <c r="E44" s="88">
        <v>1</v>
      </c>
      <c r="F44" s="104">
        <v>1600</v>
      </c>
      <c r="G44" s="99">
        <v>45763</v>
      </c>
      <c r="H44" s="91" t="inlineStr">
        <is>
          <t>サンプル物品16</t>
        </is>
      </c>
      <c r="I44" s="100" t="inlineStr">
        <is>
          <t>架空イベントの記入例</t>
        </is>
      </c>
      <c r="J44" s="73" t="e">
        <f>SUM(#REF!)</f>
        <v>#REF!</v>
      </c>
      <c r="K44" s="58" t="e">
        <f>SUM(#REF!)</f>
        <v>#REF!</v>
      </c>
      <c r="L44" s="60"/>
    </row>
    <row r="45" spans="2:12" ht="21.75" customHeight="1" x14ac:dyDescent="0.2">
      <c r="B45" s="47"/>
      <c r="C45" s="40"/>
      <c r="D45" s="41"/>
      <c r="E45" s="93"/>
      <c r="F45" s="105"/>
      <c r="G45" s="102"/>
      <c r="H45" s="96"/>
      <c r="I45" s="103"/>
      <c r="J45" s="76"/>
      <c r="K45" s="6"/>
      <c r="L45" s="7"/>
    </row>
    <row r="46" spans="2:12" ht="21.75" customHeight="1" thickBot="1" x14ac:dyDescent="0.25">
      <c r="B46" s="48"/>
      <c r="C46" s="34"/>
      <c r="D46" s="35"/>
      <c r="E46" s="57" t="s">
        <v>6</v>
      </c>
      <c r="F46" s="58">
        <f>SUM(F44)</f>
        <v>1600</v>
      </c>
      <c r="G46" s="59"/>
      <c r="H46" s="86"/>
      <c r="I46" s="84"/>
      <c r="J46" s="77"/>
      <c r="K46" s="17"/>
      <c r="L46" s="62"/>
    </row>
    <row r="47" spans="2:12" ht="21.75" customHeight="1" thickBot="1" x14ac:dyDescent="0.25">
      <c r="B47" s="47" t="s">
        <v>30</v>
      </c>
      <c r="C47" s="107"/>
      <c r="D47" s="49" t="s">
        <v>31</v>
      </c>
      <c r="E47" s="88"/>
      <c r="F47" s="98"/>
      <c r="G47" s="99"/>
      <c r="H47" s="91"/>
      <c r="I47" s="100"/>
      <c r="J47" s="73">
        <f t="shared" ref="J47" si="9">SUM(J45)</f>
        <v>0</v>
      </c>
      <c r="K47" s="58">
        <f t="shared" ref="K47" si="10">SUM(K45)</f>
        <v>0</v>
      </c>
      <c r="L47" s="60"/>
    </row>
    <row r="48" spans="2:12" ht="21" customHeight="1" x14ac:dyDescent="0.2">
      <c r="B48" s="47"/>
      <c r="C48" s="40"/>
      <c r="D48" s="41"/>
      <c r="E48" s="93"/>
      <c r="F48" s="101"/>
      <c r="G48" s="102"/>
      <c r="H48" s="96"/>
      <c r="I48" s="103"/>
      <c r="J48" s="74"/>
      <c r="K48" s="8"/>
      <c r="L48" s="9"/>
    </row>
    <row r="49" spans="2:12" ht="21" customHeight="1" thickBot="1" x14ac:dyDescent="0.25">
      <c r="B49" s="48"/>
      <c r="C49" s="34"/>
      <c r="D49" s="35"/>
      <c r="E49" s="57" t="s">
        <v>6</v>
      </c>
      <c r="F49" s="58">
        <f>SUM(F47:F48)</f>
        <v>0</v>
      </c>
      <c r="G49" s="59"/>
      <c r="H49" s="86"/>
      <c r="I49" s="84"/>
      <c r="J49" s="75"/>
      <c r="K49" s="61"/>
      <c r="L49" s="56"/>
    </row>
    <row r="50" spans="2:12" s="1" customFormat="1" ht="21" customHeight="1" thickBot="1" x14ac:dyDescent="0.25">
      <c r="B50" s="48"/>
      <c r="C50" s="34"/>
      <c r="D50" s="35"/>
      <c r="E50" s="14" t="s">
        <v>19</v>
      </c>
      <c r="F50" s="16">
        <f>F8+F18+F21+F26+F29+F32+F35+F39+F43+F46+F49</f>
        <v>13600</v>
      </c>
      <c r="G50" s="15"/>
      <c r="H50" s="87"/>
      <c r="I50" s="85"/>
      <c r="J50" s="73">
        <f t="shared" ref="J50" si="11">SUM(J48:J49)</f>
        <v>0</v>
      </c>
      <c r="K50" s="58">
        <f t="shared" ref="K50" si="12">SUM(K48:K49)</f>
        <v>0</v>
      </c>
      <c r="L50" s="60"/>
    </row>
    <row r="51" spans="2:12" s="1" customFormat="1" ht="21" customHeight="1" thickBot="1" x14ac:dyDescent="0.25">
      <c r="J51" s="80" t="e">
        <f>J9+J19+J22+J27+J30+J33+J36+J40+#REF!+#REF!+#REF!+#REF!+#REF!+#REF!+#REF!+#REF!+#REF!+#REF!+J44+J47+J50</f>
        <v>#REF!</v>
      </c>
      <c r="K51" s="10" t="e">
        <f>K9+K19+K22+K27+K30+K33+K36+K40+#REF!+#REF!+#REF!+#REF!+#REF!+#REF!+#REF!+#REF!+#REF!+#REF!+K44+K47+K50</f>
        <v>#REF!</v>
      </c>
      <c r="L51" s="5"/>
    </row>
    <row r="53" spans="2:12" ht="21.75" customHeight="1" x14ac:dyDescent="0.2">
      <c r="J53" s="13"/>
    </row>
    <row r="55" spans="2:12" ht="21.75" customHeight="1" x14ac:dyDescent="0.2">
      <c r="J55" s="13"/>
    </row>
  </sheetData>
  <mergeCells count="3">
    <mergeCell ref="E3:H3"/>
    <mergeCell ref="B27:D27"/>
    <mergeCell ref="C1:I1"/>
  </mergeCells>
  <phoneticPr fontId="2"/>
  <pageMargins left="0.44" right="0.15748031496062992" top="0.59055118110236227" bottom="0.39370078740157483" header="0.15748031496062992" footer="0.15748031496062992"/>
  <pageSetup paperSize="9" scale="70" orientation="portrait" horizontalDpi="300" verticalDpi="300"/>
  <headerFooter>
    <oddFooter>&amp;C&amp;"Meiryo UI,標準"&amp;9&amp;P/&amp;N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K112"/>
  <sheetViews>
    <sheetView showGridLines="0" tabSelected="1" topLeftCell="A86" zoomScale="87" zoomScaleNormal="100" workbookViewId="0">
      <selection activeCell="G111" sqref="G111"/>
    </sheetView>
  </sheetViews>
  <sheetFormatPr defaultColWidth="9" defaultRowHeight="21.75" customHeight="1" x14ac:dyDescent="0.2"/>
  <cols>
    <col min="1" max="1" width="1.6640625" style="4" customWidth="1"/>
    <col min="2" max="2" width="21.21875" style="4" customWidth="1"/>
    <col min="3" max="3" width="1.6640625" style="4" customWidth="1"/>
    <col min="4" max="4" width="6.6640625" style="2" customWidth="1"/>
    <col min="5" max="5" width="9.109375" style="3" customWidth="1"/>
    <col min="6" max="6" width="13.6640625" style="2" customWidth="1"/>
    <col min="7" max="8" width="27" style="4" customWidth="1"/>
    <col min="9" max="9" width="9.109375" style="4" hidden="1" customWidth="1"/>
    <col min="10" max="10" width="9.109375" style="3" hidden="1" customWidth="1"/>
    <col min="11" max="11" width="35.88671875" style="4" hidden="1" customWidth="1"/>
    <col min="12" max="68" width="1.6640625" style="4" customWidth="1"/>
    <col min="69" max="16384" width="9" style="4"/>
  </cols>
  <sheetData>
    <row r="1" spans="1:11" ht="23.4" thickBot="1" x14ac:dyDescent="0.25">
      <c r="B1" s="69" t="s">
        <v>32</v>
      </c>
      <c r="C1" s="1" t="s">
        <v>33</v>
      </c>
      <c r="D1" s="120" t="inlineStr">
        <is>
          <t>合成会計検証会</t>
        </is>
      </c>
      <c r="E1" s="120"/>
      <c r="F1" s="120"/>
      <c r="G1" s="120"/>
      <c r="H1" s="109" t="s">
        <v>36</v>
      </c>
      <c r="I1" s="3"/>
    </row>
    <row r="2" spans="1:11" ht="5.25" customHeight="1" thickBot="1" x14ac:dyDescent="0.25">
      <c r="B2" s="1"/>
      <c r="C2" s="1"/>
    </row>
    <row r="3" spans="1:11" ht="15.6" thickBot="1" x14ac:dyDescent="0.25">
      <c r="A3" s="110"/>
      <c r="B3" s="20" t="s">
        <v>0</v>
      </c>
      <c r="C3" s="21"/>
      <c r="D3" s="22" t="s">
        <v>34</v>
      </c>
      <c r="E3" s="23" t="s">
        <v>1</v>
      </c>
      <c r="F3" s="24" t="s">
        <v>2</v>
      </c>
      <c r="G3" s="24" t="s">
        <v>3</v>
      </c>
      <c r="H3" s="26" t="s">
        <v>25</v>
      </c>
      <c r="I3" s="70" t="s">
        <v>20</v>
      </c>
      <c r="J3" s="25" t="s">
        <v>4</v>
      </c>
      <c r="K3" s="26" t="s">
        <v>8</v>
      </c>
    </row>
    <row r="4" spans="1:11" ht="21.75" customHeight="1" thickBot="1" x14ac:dyDescent="0.25">
      <c r="A4" s="27" t="s">
        <v>5</v>
      </c>
      <c r="B4" s="28"/>
      <c r="C4" s="29"/>
      <c r="D4" s="88" t="inlineStr">
        <is>
          <t>1</t>
        </is>
      </c>
      <c r="E4" s="89">
        <v>1200</v>
      </c>
      <c r="F4" s="90">
        <v>45757</v>
      </c>
      <c r="G4" s="91" t="inlineStr">
        <is>
          <t>ホワイトボードマーカー</t>
        </is>
      </c>
      <c r="H4" s="92" t="inlineStr">
        <is>
          <t>新入生向け勉強会</t>
        </is>
      </c>
      <c r="I4" s="71"/>
      <c r="J4" s="67"/>
      <c r="K4" s="9"/>
    </row>
    <row r="5" spans="1:11" ht="21.75" customHeight="1" x14ac:dyDescent="0.2">
      <c r="A5" s="30"/>
      <c r="B5" s="31"/>
      <c r="C5" s="32"/>
      <c r="D5" s="93" t="inlineStr">
        <is>
          <t>2</t>
        </is>
      </c>
      <c r="E5" s="94">
        <v>800</v>
      </c>
      <c r="F5" s="90">
        <v>45758</v>
      </c>
      <c r="G5" s="96" t="inlineStr">
        <is>
          <t>付箋</t>
        </is>
      </c>
      <c r="H5" s="92" t="inlineStr">
        <is>
          <t>研究発表の準備</t>
        </is>
      </c>
      <c r="I5" s="72"/>
      <c r="J5" s="68"/>
      <c r="K5" s="56"/>
    </row>
    <row r="6" spans="1:11" ht="21.75" customHeight="1" thickBot="1" x14ac:dyDescent="0.25">
      <c r="A6" s="33"/>
      <c r="B6" s="34"/>
      <c r="C6" s="35"/>
      <c r="D6" s="57" t="s">
        <v>6</v>
      </c>
      <c r="E6" s="58">
        <f>SUM(E4:E5)</f>
        <v>2000</v>
      </c>
      <c r="F6" s="59"/>
      <c r="G6" s="86"/>
      <c r="H6" s="84"/>
      <c r="I6" s="72"/>
      <c r="J6" s="68"/>
      <c r="K6" s="56"/>
    </row>
    <row r="7" spans="1:11" ht="21.75" customHeight="1" x14ac:dyDescent="0.2">
      <c r="A7" s="36" t="s">
        <v>10</v>
      </c>
      <c r="B7" s="37"/>
      <c r="C7" s="38"/>
      <c r="D7" s="93" t="inlineStr">
        <is>
          <t>規模1</t>
        </is>
      </c>
      <c r="E7" s="101">
        <v>2500</v>
      </c>
      <c r="F7" s="102">
        <v>45789</v>
      </c>
      <c r="G7" s="96" t="inlineStr">
        <is>
          <t>活動報告冊子の印刷</t>
        </is>
      </c>
      <c r="H7" s="103" t="inlineStr">
        <is>
          <t>学内成果報告会</t>
        </is>
      </c>
      <c r="I7" s="75"/>
      <c r="J7" s="61"/>
      <c r="K7" s="56"/>
    </row>
    <row r="8" spans="1:11" ht="21.75" customHeight="1" x14ac:dyDescent="0.2">
      <c r="A8" s="39"/>
      <c r="B8" s="40"/>
      <c r="C8" s="41"/>
      <c r="D8" s="93"/>
      <c r="E8" s="101"/>
      <c r="F8" s="102"/>
      <c r="G8" s="96"/>
      <c r="H8" s="103"/>
      <c r="I8" s="75"/>
      <c r="J8" s="61"/>
      <c r="K8" s="56"/>
    </row>
    <row r="9" spans="1:11" ht="21.75" customHeight="1" thickBot="1" x14ac:dyDescent="0.25">
      <c r="A9" s="33"/>
      <c r="B9" s="34"/>
      <c r="C9" s="35"/>
      <c r="D9" s="57" t="s">
        <v>6</v>
      </c>
      <c r="E9" s="58">
        <f>SUM(E7:E8)</f>
        <v>2500</v>
      </c>
      <c r="F9" s="59"/>
      <c r="G9" s="86"/>
      <c r="H9" s="84"/>
      <c r="I9" s="75"/>
      <c r="J9" s="61"/>
      <c r="K9" s="56"/>
    </row>
    <row r="10" spans="1:11" s="1" customFormat="1" ht="21.75" customHeight="1" thickBot="1" x14ac:dyDescent="0.25">
      <c r="A10" s="36" t="s">
        <v>9</v>
      </c>
      <c r="B10" s="37"/>
      <c r="C10" s="38"/>
      <c r="D10" s="88"/>
      <c r="E10" s="98"/>
      <c r="F10" s="99"/>
      <c r="G10" s="91"/>
      <c r="H10" s="100"/>
      <c r="I10" s="73">
        <f>SUM(I7:I9)</f>
        <v>0</v>
      </c>
      <c r="J10" s="58">
        <f>SUM(J7:J9)</f>
        <v>0</v>
      </c>
      <c r="K10" s="60"/>
    </row>
    <row r="11" spans="1:11" ht="21.75" customHeight="1" x14ac:dyDescent="0.2">
      <c r="A11" s="39"/>
      <c r="B11" s="40"/>
      <c r="C11" s="41"/>
      <c r="D11" s="93"/>
      <c r="E11" s="101"/>
      <c r="F11" s="102"/>
      <c r="G11" s="96"/>
      <c r="H11" s="103"/>
      <c r="I11" s="74"/>
      <c r="J11" s="8"/>
      <c r="K11" s="9"/>
    </row>
    <row r="12" spans="1:11" ht="21.75" customHeight="1" thickBot="1" x14ac:dyDescent="0.25">
      <c r="A12" s="33"/>
      <c r="B12" s="34"/>
      <c r="C12" s="35"/>
      <c r="D12" s="57" t="s">
        <v>6</v>
      </c>
      <c r="E12" s="58">
        <f>SUM(E10:E11)</f>
        <v>0</v>
      </c>
      <c r="F12" s="59"/>
      <c r="G12" s="86"/>
      <c r="H12" s="84"/>
      <c r="I12" s="75"/>
      <c r="J12" s="61"/>
      <c r="K12" s="56"/>
    </row>
    <row r="13" spans="1:11" ht="21.75" customHeight="1" x14ac:dyDescent="0.2">
      <c r="A13" s="36" t="s">
        <v>17</v>
      </c>
      <c r="B13" s="37"/>
      <c r="C13" s="41"/>
      <c r="D13" s="93" t="inlineStr">
        <is>
          <t>正課外1</t>
        </is>
      </c>
      <c r="E13" s="101">
        <v>5000</v>
      </c>
      <c r="F13" s="102">
        <v>45821</v>
      </c>
      <c r="G13" s="96" t="inlineStr">
        <is>
          <t>外付けキーボード</t>
        </is>
      </c>
      <c r="H13" s="103" t="inlineStr">
        <is>
          <t>プログラミング演習</t>
        </is>
      </c>
      <c r="I13" s="75"/>
      <c r="J13" s="61"/>
      <c r="K13" s="62"/>
    </row>
    <row r="14" spans="1:11" ht="21.75" customHeight="1" x14ac:dyDescent="0.2">
      <c r="A14" s="39"/>
      <c r="B14" s="40"/>
      <c r="C14" s="41"/>
      <c r="D14" s="93"/>
      <c r="E14" s="101"/>
      <c r="F14" s="102"/>
      <c r="G14" s="96"/>
      <c r="H14" s="103"/>
      <c r="I14" s="75"/>
      <c r="J14" s="61"/>
      <c r="K14" s="56"/>
    </row>
    <row r="15" spans="1:11" ht="21.75" customHeight="1" thickBot="1" x14ac:dyDescent="0.25">
      <c r="A15" s="33"/>
      <c r="B15" s="34"/>
      <c r="C15" s="35"/>
      <c r="D15" s="57" t="s">
        <v>6</v>
      </c>
      <c r="E15" s="58">
        <f>SUM(E13:E14)</f>
        <v>5000</v>
      </c>
      <c r="F15" s="59"/>
      <c r="G15" s="86"/>
      <c r="H15" s="84"/>
      <c r="I15" s="75"/>
      <c r="J15" s="61"/>
      <c r="K15" s="56"/>
    </row>
    <row r="16" spans="1:11" s="1" customFormat="1" ht="21.75" customHeight="1" thickBot="1" x14ac:dyDescent="0.25">
      <c r="A16" s="121" t="s">
        <v>26</v>
      </c>
      <c r="B16" s="122"/>
      <c r="C16" s="123"/>
      <c r="D16" s="88"/>
      <c r="E16" s="98"/>
      <c r="F16" s="99"/>
      <c r="G16" s="91"/>
      <c r="H16" s="100"/>
      <c r="I16" s="73">
        <f>SUM(I13:I15)</f>
        <v>0</v>
      </c>
      <c r="J16" s="58">
        <f>SUM(J13:J15)</f>
        <v>0</v>
      </c>
      <c r="K16" s="60"/>
    </row>
    <row r="17" spans="1:11" s="1" customFormat="1" ht="21.75" customHeight="1" x14ac:dyDescent="0.2">
      <c r="A17" s="50"/>
      <c r="B17" s="51"/>
      <c r="C17" s="52"/>
      <c r="D17" s="93"/>
      <c r="E17" s="101"/>
      <c r="F17" s="102"/>
      <c r="G17" s="96"/>
      <c r="H17" s="103"/>
      <c r="I17" s="74"/>
      <c r="J17" s="8"/>
      <c r="K17" s="9"/>
    </row>
    <row r="18" spans="1:11" s="1" customFormat="1" ht="21.75" customHeight="1" thickBot="1" x14ac:dyDescent="0.25">
      <c r="A18" s="33"/>
      <c r="B18" s="34"/>
      <c r="C18" s="35"/>
      <c r="D18" s="57" t="s">
        <v>6</v>
      </c>
      <c r="E18" s="58">
        <f>SUM(E16:E17)</f>
        <v>0</v>
      </c>
      <c r="F18" s="59"/>
      <c r="G18" s="86"/>
      <c r="H18" s="84"/>
      <c r="I18" s="75"/>
      <c r="J18" s="61"/>
      <c r="K18" s="56"/>
    </row>
    <row r="19" spans="1:11" s="1" customFormat="1" ht="21.75" customHeight="1" thickBot="1" x14ac:dyDescent="0.25">
      <c r="A19" s="36" t="s">
        <v>23</v>
      </c>
      <c r="B19" s="42"/>
      <c r="C19" s="43"/>
      <c r="D19" s="88"/>
      <c r="E19" s="98"/>
      <c r="F19" s="99"/>
      <c r="G19" s="91"/>
      <c r="H19" s="100"/>
      <c r="I19" s="73">
        <f t="shared" ref="I19:J19" si="0">SUM(I17:I18)</f>
        <v>0</v>
      </c>
      <c r="J19" s="58">
        <f t="shared" si="0"/>
        <v>0</v>
      </c>
      <c r="K19" s="60"/>
    </row>
    <row r="20" spans="1:11" s="1" customFormat="1" ht="21.75" customHeight="1" x14ac:dyDescent="0.2">
      <c r="A20" s="39"/>
      <c r="B20" s="53"/>
      <c r="C20" s="54"/>
      <c r="D20" s="93"/>
      <c r="E20" s="101"/>
      <c r="F20" s="102"/>
      <c r="G20" s="96"/>
      <c r="H20" s="103"/>
      <c r="I20" s="74"/>
      <c r="J20" s="8"/>
      <c r="K20" s="9"/>
    </row>
    <row r="21" spans="1:11" s="1" customFormat="1" ht="21.75" customHeight="1" thickBot="1" x14ac:dyDescent="0.25">
      <c r="A21" s="33"/>
      <c r="B21" s="34"/>
      <c r="C21" s="35"/>
      <c r="D21" s="57" t="s">
        <v>6</v>
      </c>
      <c r="E21" s="58">
        <f>SUM(E19:E20)</f>
        <v>0</v>
      </c>
      <c r="F21" s="59"/>
      <c r="G21" s="86"/>
      <c r="H21" s="84"/>
      <c r="I21" s="75"/>
      <c r="J21" s="61"/>
      <c r="K21" s="56"/>
    </row>
    <row r="22" spans="1:11" s="1" customFormat="1" ht="21.75" customHeight="1" thickBot="1" x14ac:dyDescent="0.25">
      <c r="A22" s="36" t="s">
        <v>24</v>
      </c>
      <c r="B22" s="37"/>
      <c r="C22" s="38"/>
      <c r="D22" s="88"/>
      <c r="E22" s="89"/>
      <c r="F22" s="90"/>
      <c r="G22" s="91"/>
      <c r="H22" s="100"/>
      <c r="I22" s="73">
        <f t="shared" ref="I22:J22" si="1">SUM(I20:I21)</f>
        <v>0</v>
      </c>
      <c r="J22" s="58">
        <f t="shared" si="1"/>
        <v>0</v>
      </c>
      <c r="K22" s="60"/>
    </row>
    <row r="23" spans="1:11" ht="21.75" customHeight="1" x14ac:dyDescent="0.2">
      <c r="A23" s="39"/>
      <c r="B23" s="40"/>
      <c r="C23" s="41"/>
      <c r="D23" s="93"/>
      <c r="E23" s="101"/>
      <c r="F23" s="102"/>
      <c r="G23" s="96"/>
      <c r="H23" s="103"/>
      <c r="I23" s="71"/>
      <c r="J23" s="18"/>
      <c r="K23" s="11"/>
    </row>
    <row r="24" spans="1:11" ht="21.75" customHeight="1" thickBot="1" x14ac:dyDescent="0.25">
      <c r="A24" s="33"/>
      <c r="B24" s="34"/>
      <c r="C24" s="35"/>
      <c r="D24" s="57" t="s">
        <v>6</v>
      </c>
      <c r="E24" s="58">
        <f>SUM(E22:E23)</f>
        <v>0</v>
      </c>
      <c r="F24" s="59"/>
      <c r="G24" s="86"/>
      <c r="H24" s="84"/>
      <c r="I24" s="75"/>
      <c r="J24" s="61"/>
      <c r="K24" s="56"/>
    </row>
    <row r="25" spans="1:11" s="1" customFormat="1" ht="21.75" customHeight="1" x14ac:dyDescent="0.2">
      <c r="A25" s="36" t="s">
        <v>22</v>
      </c>
      <c r="B25" s="37"/>
      <c r="C25" s="38"/>
      <c r="D25" s="93"/>
      <c r="E25" s="101"/>
      <c r="F25" s="102"/>
      <c r="G25" s="96"/>
      <c r="H25" s="103"/>
      <c r="I25" s="77"/>
      <c r="J25" s="17"/>
      <c r="K25" s="63"/>
    </row>
    <row r="26" spans="1:11" ht="21.75" customHeight="1" x14ac:dyDescent="0.2">
      <c r="A26" s="39"/>
      <c r="B26" s="40"/>
      <c r="C26" s="41"/>
      <c r="D26" s="93"/>
      <c r="E26" s="101"/>
      <c r="F26" s="102"/>
      <c r="G26" s="96"/>
      <c r="H26" s="103"/>
      <c r="I26" s="75"/>
      <c r="J26" s="61"/>
      <c r="K26" s="56"/>
    </row>
    <row r="27" spans="1:11" ht="21.75" customHeight="1" thickBot="1" x14ac:dyDescent="0.25">
      <c r="A27" s="33"/>
      <c r="B27" s="34"/>
      <c r="C27" s="35"/>
      <c r="D27" s="57" t="s">
        <v>6</v>
      </c>
      <c r="E27" s="58">
        <f>SUM(E25:E26)</f>
        <v>0</v>
      </c>
      <c r="F27" s="59"/>
      <c r="G27" s="86"/>
      <c r="H27" s="84"/>
      <c r="I27" s="75"/>
      <c r="J27" s="61"/>
      <c r="K27" s="56"/>
    </row>
    <row r="28" spans="1:11" ht="21.75" customHeight="1" x14ac:dyDescent="0.2">
      <c r="A28" s="39" t="s">
        <v>11</v>
      </c>
      <c r="B28" s="40"/>
      <c r="C28" s="41"/>
      <c r="D28" s="93"/>
      <c r="E28" s="105"/>
      <c r="F28" s="95"/>
      <c r="G28" s="96"/>
      <c r="H28" s="103"/>
      <c r="I28" s="76"/>
      <c r="J28" s="6"/>
      <c r="K28" s="12"/>
    </row>
    <row r="29" spans="1:11" ht="21.75" customHeight="1" x14ac:dyDescent="0.2">
      <c r="A29" s="39"/>
      <c r="B29" s="40"/>
      <c r="C29" s="41"/>
      <c r="D29" s="93"/>
      <c r="E29" s="101"/>
      <c r="F29" s="102"/>
      <c r="G29" s="96"/>
      <c r="H29" s="103"/>
      <c r="I29" s="77"/>
      <c r="J29" s="17"/>
      <c r="K29" s="66"/>
    </row>
    <row r="30" spans="1:11" ht="21.75" customHeight="1" thickBot="1" x14ac:dyDescent="0.25">
      <c r="A30" s="33"/>
      <c r="B30" s="34"/>
      <c r="C30" s="35"/>
      <c r="D30" s="57" t="s">
        <v>6</v>
      </c>
      <c r="E30" s="58">
        <f>SUM(E28:E29)</f>
        <v>0</v>
      </c>
      <c r="F30" s="59"/>
      <c r="G30" s="86"/>
      <c r="H30" s="84"/>
      <c r="I30" s="75"/>
      <c r="J30" s="61"/>
      <c r="K30" s="56"/>
    </row>
    <row r="31" spans="1:11" s="1" customFormat="1" ht="21.75" customHeight="1" thickBot="1" x14ac:dyDescent="0.25">
      <c r="A31" s="39" t="s">
        <v>27</v>
      </c>
      <c r="B31" s="40"/>
      <c r="C31" s="41"/>
      <c r="D31" s="88"/>
      <c r="E31" s="98"/>
      <c r="F31" s="99"/>
      <c r="G31" s="91"/>
      <c r="H31" s="100"/>
      <c r="I31" s="73">
        <f t="shared" ref="I31:J31" si="2">SUM(I28:I30)</f>
        <v>0</v>
      </c>
      <c r="J31" s="58">
        <f t="shared" si="2"/>
        <v>0</v>
      </c>
      <c r="K31" s="60"/>
    </row>
    <row r="32" spans="1:11" s="1" customFormat="1" ht="21.75" customHeight="1" x14ac:dyDescent="0.2">
      <c r="A32" s="39"/>
      <c r="B32" s="40"/>
      <c r="C32" s="41"/>
      <c r="D32" s="93"/>
      <c r="E32" s="101"/>
      <c r="F32" s="102"/>
      <c r="G32" s="96"/>
      <c r="H32" s="103"/>
      <c r="I32" s="74"/>
      <c r="J32" s="8"/>
      <c r="K32" s="9"/>
    </row>
    <row r="33" spans="1:11" s="1" customFormat="1" ht="21.75" customHeight="1" thickBot="1" x14ac:dyDescent="0.25">
      <c r="A33" s="44"/>
      <c r="B33" s="45"/>
      <c r="C33" s="46"/>
      <c r="D33" s="57" t="s">
        <v>6</v>
      </c>
      <c r="E33" s="58">
        <f>SUM(E31:E32)</f>
        <v>0</v>
      </c>
      <c r="F33" s="59"/>
      <c r="G33" s="86"/>
      <c r="H33" s="84"/>
      <c r="I33" s="75"/>
      <c r="J33" s="61"/>
      <c r="K33" s="56"/>
    </row>
    <row r="34" spans="1:11" s="1" customFormat="1" ht="21.75" customHeight="1" thickBot="1" x14ac:dyDescent="0.25">
      <c r="A34" s="36" t="s">
        <v>28</v>
      </c>
      <c r="B34" s="37"/>
      <c r="C34" s="38"/>
      <c r="D34" s="88"/>
      <c r="E34" s="98"/>
      <c r="F34" s="99"/>
      <c r="G34" s="91"/>
      <c r="H34" s="100"/>
      <c r="I34" s="73">
        <f t="shared" ref="I34:J34" si="3">SUM(I32:I33)</f>
        <v>0</v>
      </c>
      <c r="J34" s="58">
        <f t="shared" si="3"/>
        <v>0</v>
      </c>
      <c r="K34" s="60"/>
    </row>
    <row r="35" spans="1:11" ht="21.75" customHeight="1" x14ac:dyDescent="0.2">
      <c r="A35" s="39"/>
      <c r="B35" s="40"/>
      <c r="C35" s="41"/>
      <c r="D35" s="93"/>
      <c r="E35" s="101"/>
      <c r="F35" s="102"/>
      <c r="G35" s="96"/>
      <c r="H35" s="103"/>
      <c r="I35" s="74"/>
      <c r="J35" s="8"/>
      <c r="K35" s="9"/>
    </row>
    <row r="36" spans="1:11" ht="21.75" customHeight="1" thickBot="1" x14ac:dyDescent="0.25">
      <c r="A36" s="33"/>
      <c r="B36" s="34"/>
      <c r="C36" s="35"/>
      <c r="D36" s="57" t="s">
        <v>6</v>
      </c>
      <c r="E36" s="58">
        <f>SUM(E34:E35)</f>
        <v>0</v>
      </c>
      <c r="F36" s="59"/>
      <c r="G36" s="86"/>
      <c r="H36" s="84"/>
      <c r="I36" s="75"/>
      <c r="J36" s="61"/>
      <c r="K36" s="56"/>
    </row>
    <row r="37" spans="1:11" s="1" customFormat="1" ht="21.75" customHeight="1" thickBot="1" x14ac:dyDescent="0.25">
      <c r="A37" s="36" t="s">
        <v>12</v>
      </c>
      <c r="B37" s="37"/>
      <c r="C37" s="38"/>
      <c r="D37" s="88"/>
      <c r="E37" s="98"/>
      <c r="F37" s="99"/>
      <c r="G37" s="91"/>
      <c r="H37" s="100"/>
      <c r="I37" s="73">
        <f t="shared" ref="I37:J37" si="4">SUM(I35:I36)</f>
        <v>0</v>
      </c>
      <c r="J37" s="58">
        <f t="shared" si="4"/>
        <v>0</v>
      </c>
      <c r="K37" s="60"/>
    </row>
    <row r="38" spans="1:11" ht="21.75" customHeight="1" x14ac:dyDescent="0.2">
      <c r="A38" s="39"/>
      <c r="B38" s="40"/>
      <c r="C38" s="41"/>
      <c r="D38" s="93"/>
      <c r="E38" s="101"/>
      <c r="F38" s="102"/>
      <c r="G38" s="96"/>
      <c r="H38" s="103"/>
      <c r="I38" s="74"/>
      <c r="J38" s="8"/>
      <c r="K38" s="9"/>
    </row>
    <row r="39" spans="1:11" ht="21.75" customHeight="1" thickBot="1" x14ac:dyDescent="0.25">
      <c r="A39" s="33"/>
      <c r="B39" s="34"/>
      <c r="C39" s="35"/>
      <c r="D39" s="57" t="s">
        <v>6</v>
      </c>
      <c r="E39" s="58">
        <f>SUM(E37:E38)</f>
        <v>0</v>
      </c>
      <c r="F39" s="59"/>
      <c r="G39" s="86"/>
      <c r="H39" s="84"/>
      <c r="I39" s="75"/>
      <c r="J39" s="61"/>
      <c r="K39" s="56"/>
    </row>
    <row r="40" spans="1:11" s="1" customFormat="1" ht="21.75" customHeight="1" thickBot="1" x14ac:dyDescent="0.25">
      <c r="A40" s="39" t="s">
        <v>29</v>
      </c>
      <c r="B40" s="40"/>
      <c r="C40" s="41"/>
      <c r="D40" s="88"/>
      <c r="E40" s="98"/>
      <c r="F40" s="99"/>
      <c r="G40" s="91"/>
      <c r="H40" s="100"/>
      <c r="I40" s="73">
        <f t="shared" ref="I40:J40" si="5">SUM(I38:I39)</f>
        <v>0</v>
      </c>
      <c r="J40" s="58">
        <f t="shared" si="5"/>
        <v>0</v>
      </c>
      <c r="K40" s="60"/>
    </row>
    <row r="41" spans="1:11" s="1" customFormat="1" ht="21.75" customHeight="1" x14ac:dyDescent="0.2">
      <c r="A41" s="39"/>
      <c r="B41" s="40"/>
      <c r="C41" s="41"/>
      <c r="D41" s="93"/>
      <c r="E41" s="101"/>
      <c r="F41" s="102"/>
      <c r="G41" s="96"/>
      <c r="H41" s="103"/>
      <c r="I41" s="74"/>
      <c r="J41" s="8"/>
      <c r="K41" s="9"/>
    </row>
    <row r="42" spans="1:11" s="1" customFormat="1" ht="21.75" customHeight="1" thickBot="1" x14ac:dyDescent="0.25">
      <c r="A42" s="44"/>
      <c r="B42" s="45"/>
      <c r="C42" s="46"/>
      <c r="D42" s="57" t="s">
        <v>6</v>
      </c>
      <c r="E42" s="58">
        <f>SUM(E40:E41)</f>
        <v>0</v>
      </c>
      <c r="F42" s="59"/>
      <c r="G42" s="86"/>
      <c r="H42" s="84"/>
      <c r="I42" s="75"/>
      <c r="J42" s="61"/>
      <c r="K42" s="56"/>
    </row>
    <row r="43" spans="1:11" s="1" customFormat="1" ht="21.75" customHeight="1" thickBot="1" x14ac:dyDescent="0.25">
      <c r="A43" s="36" t="s">
        <v>13</v>
      </c>
      <c r="B43" s="37"/>
      <c r="C43" s="38"/>
      <c r="D43" s="88"/>
      <c r="E43" s="98"/>
      <c r="F43" s="99"/>
      <c r="G43" s="91"/>
      <c r="H43" s="100"/>
      <c r="I43" s="73">
        <f t="shared" ref="I43:J43" si="6">SUM(I41:I42)</f>
        <v>0</v>
      </c>
      <c r="J43" s="58">
        <f t="shared" si="6"/>
        <v>0</v>
      </c>
      <c r="K43" s="60"/>
    </row>
    <row r="44" spans="1:11" ht="21.75" customHeight="1" x14ac:dyDescent="0.2">
      <c r="A44" s="39"/>
      <c r="B44" s="40"/>
      <c r="C44" s="41"/>
      <c r="D44" s="93"/>
      <c r="E44" s="101"/>
      <c r="F44" s="102"/>
      <c r="G44" s="96"/>
      <c r="H44" s="103"/>
      <c r="I44" s="74"/>
      <c r="J44" s="8"/>
      <c r="K44" s="9"/>
    </row>
    <row r="45" spans="1:11" ht="21.75" customHeight="1" thickBot="1" x14ac:dyDescent="0.25">
      <c r="A45" s="33"/>
      <c r="B45" s="34"/>
      <c r="C45" s="35"/>
      <c r="D45" s="57" t="s">
        <v>6</v>
      </c>
      <c r="E45" s="58">
        <f>SUM(E43:E44)</f>
        <v>0</v>
      </c>
      <c r="F45" s="59"/>
      <c r="G45" s="86"/>
      <c r="H45" s="84"/>
      <c r="I45" s="75"/>
      <c r="J45" s="61"/>
      <c r="K45" s="56"/>
    </row>
    <row r="46" spans="1:11" s="1" customFormat="1" ht="21.75" customHeight="1" thickBot="1" x14ac:dyDescent="0.25">
      <c r="A46" s="36" t="s">
        <v>14</v>
      </c>
      <c r="B46" s="37"/>
      <c r="C46" s="38"/>
      <c r="D46" s="88"/>
      <c r="E46" s="98"/>
      <c r="F46" s="99"/>
      <c r="G46" s="91"/>
      <c r="H46" s="100"/>
      <c r="I46" s="73">
        <f t="shared" ref="I46:J46" si="7">SUM(I44:I45)</f>
        <v>0</v>
      </c>
      <c r="J46" s="58">
        <f t="shared" si="7"/>
        <v>0</v>
      </c>
      <c r="K46" s="60"/>
    </row>
    <row r="47" spans="1:11" ht="21.75" customHeight="1" thickBot="1" x14ac:dyDescent="0.25">
      <c r="A47" s="39"/>
      <c r="B47" s="40"/>
      <c r="C47" s="41"/>
      <c r="D47" s="93"/>
      <c r="E47" s="101"/>
      <c r="F47" s="99"/>
      <c r="G47" s="91"/>
      <c r="H47" s="100"/>
      <c r="I47" s="74"/>
      <c r="J47" s="8"/>
      <c r="K47" s="9"/>
    </row>
    <row r="48" spans="1:11" ht="21.75" customHeight="1" x14ac:dyDescent="0.2">
      <c r="A48" s="39"/>
      <c r="B48" s="40"/>
      <c r="C48" s="41"/>
      <c r="D48" s="88"/>
      <c r="E48" s="111"/>
      <c r="F48" s="112"/>
      <c r="G48" s="113"/>
      <c r="H48" s="100"/>
      <c r="I48" s="115"/>
      <c r="J48" s="116"/>
      <c r="K48" s="117"/>
    </row>
    <row r="49" spans="1:11" ht="21.75" customHeight="1" thickBot="1" x14ac:dyDescent="0.25">
      <c r="A49" s="39"/>
      <c r="B49" s="40"/>
      <c r="C49" s="41"/>
      <c r="D49" s="93"/>
      <c r="E49" s="111"/>
      <c r="F49" s="112"/>
      <c r="G49" s="113"/>
      <c r="H49" s="114"/>
      <c r="I49" s="115"/>
      <c r="J49" s="116"/>
      <c r="K49" s="117"/>
    </row>
    <row r="50" spans="1:11" ht="21.75" customHeight="1" x14ac:dyDescent="0.2">
      <c r="A50" s="39"/>
      <c r="B50" s="40"/>
      <c r="C50" s="41"/>
      <c r="D50" s="88"/>
      <c r="E50" s="111"/>
      <c r="F50" s="112"/>
      <c r="G50" s="118"/>
      <c r="H50" s="114"/>
      <c r="I50" s="115"/>
      <c r="J50" s="116"/>
      <c r="K50" s="117"/>
    </row>
    <row r="51" spans="1:11" ht="21.75" customHeight="1" thickBot="1" x14ac:dyDescent="0.25">
      <c r="A51" s="39"/>
      <c r="B51" s="40"/>
      <c r="C51" s="41"/>
      <c r="D51" s="93"/>
      <c r="E51" s="111"/>
      <c r="F51" s="112"/>
      <c r="G51" s="113"/>
      <c r="H51" s="114"/>
      <c r="I51" s="115"/>
      <c r="J51" s="116"/>
      <c r="K51" s="117"/>
    </row>
    <row r="52" spans="1:11" ht="21.75" customHeight="1" x14ac:dyDescent="0.2">
      <c r="A52" s="39"/>
      <c r="B52" s="40"/>
      <c r="C52" s="41"/>
      <c r="D52" s="88"/>
      <c r="E52" s="111"/>
      <c r="F52" s="112"/>
      <c r="G52" s="113"/>
      <c r="H52" s="119"/>
      <c r="I52" s="115"/>
      <c r="J52" s="116"/>
      <c r="K52" s="117"/>
    </row>
    <row r="53" spans="1:11" ht="21.75" customHeight="1" thickBot="1" x14ac:dyDescent="0.25">
      <c r="A53" s="39"/>
      <c r="B53" s="40"/>
      <c r="C53" s="41"/>
      <c r="D53" s="93"/>
      <c r="E53" s="111"/>
      <c r="F53" s="112"/>
      <c r="G53" s="113"/>
      <c r="H53" s="119"/>
      <c r="I53" s="115"/>
      <c r="J53" s="116"/>
      <c r="K53" s="117"/>
    </row>
    <row r="54" spans="1:11" ht="21.75" customHeight="1" x14ac:dyDescent="0.2">
      <c r="A54" s="39"/>
      <c r="B54" s="40"/>
      <c r="C54" s="41"/>
      <c r="D54" s="88"/>
      <c r="E54" s="111"/>
      <c r="F54" s="112"/>
      <c r="G54" s="113"/>
      <c r="H54" s="114"/>
      <c r="I54" s="115"/>
      <c r="J54" s="116"/>
      <c r="K54" s="117"/>
    </row>
    <row r="55" spans="1:11" ht="21.75" customHeight="1" thickBot="1" x14ac:dyDescent="0.25">
      <c r="A55" s="39"/>
      <c r="B55" s="40"/>
      <c r="C55" s="41"/>
      <c r="D55" s="93"/>
      <c r="E55" s="111"/>
      <c r="F55" s="112"/>
      <c r="G55" s="113"/>
      <c r="H55" s="114"/>
      <c r="I55" s="115"/>
      <c r="J55" s="116"/>
      <c r="K55" s="117"/>
    </row>
    <row r="56" spans="1:11" ht="21.75" customHeight="1" x14ac:dyDescent="0.2">
      <c r="A56" s="39"/>
      <c r="B56" s="40"/>
      <c r="C56" s="41"/>
      <c r="D56" s="88"/>
      <c r="E56" s="111"/>
      <c r="F56" s="112"/>
      <c r="G56" s="113"/>
      <c r="H56" s="114"/>
      <c r="I56" s="115"/>
      <c r="J56" s="116"/>
      <c r="K56" s="117"/>
    </row>
    <row r="57" spans="1:11" ht="21.75" customHeight="1" thickBot="1" x14ac:dyDescent="0.25">
      <c r="A57" s="39"/>
      <c r="B57" s="40"/>
      <c r="C57" s="41"/>
      <c r="D57" s="93"/>
      <c r="E57" s="111"/>
      <c r="F57" s="112"/>
      <c r="G57" s="118"/>
      <c r="H57" s="114"/>
      <c r="I57" s="115"/>
      <c r="J57" s="116"/>
      <c r="K57" s="117"/>
    </row>
    <row r="58" spans="1:11" ht="21.75" customHeight="1" x14ac:dyDescent="0.2">
      <c r="A58" s="39"/>
      <c r="B58" s="40"/>
      <c r="C58" s="41"/>
      <c r="D58" s="88"/>
      <c r="E58" s="111"/>
      <c r="F58" s="112"/>
      <c r="G58" s="118"/>
      <c r="H58" s="114"/>
      <c r="I58" s="115"/>
      <c r="J58" s="116"/>
      <c r="K58" s="117"/>
    </row>
    <row r="59" spans="1:11" ht="21.75" customHeight="1" thickBot="1" x14ac:dyDescent="0.25">
      <c r="A59" s="39"/>
      <c r="B59" s="40"/>
      <c r="C59" s="41"/>
      <c r="D59" s="93"/>
      <c r="E59" s="111"/>
      <c r="F59" s="112"/>
      <c r="G59" s="113"/>
      <c r="H59" s="114"/>
      <c r="I59" s="115"/>
      <c r="J59" s="116"/>
      <c r="K59" s="117"/>
    </row>
    <row r="60" spans="1:11" ht="21.75" customHeight="1" x14ac:dyDescent="0.2">
      <c r="A60" s="39"/>
      <c r="B60" s="40"/>
      <c r="C60" s="41"/>
      <c r="D60" s="88"/>
      <c r="E60" s="111"/>
      <c r="F60" s="112"/>
      <c r="G60" s="113"/>
      <c r="H60" s="114"/>
      <c r="I60" s="115"/>
      <c r="J60" s="116"/>
      <c r="K60" s="117"/>
    </row>
    <row r="61" spans="1:11" ht="21.75" customHeight="1" thickBot="1" x14ac:dyDescent="0.25">
      <c r="A61" s="39"/>
      <c r="B61" s="40"/>
      <c r="C61" s="41"/>
      <c r="D61" s="93"/>
      <c r="E61" s="111"/>
      <c r="F61" s="112"/>
      <c r="G61" s="113"/>
      <c r="H61" s="114"/>
      <c r="I61" s="115"/>
      <c r="J61" s="116"/>
      <c r="K61" s="117"/>
    </row>
    <row r="62" spans="1:11" ht="21.75" customHeight="1" x14ac:dyDescent="0.2">
      <c r="A62" s="39"/>
      <c r="B62" s="40"/>
      <c r="C62" s="41"/>
      <c r="D62" s="88"/>
      <c r="E62" s="111"/>
      <c r="F62" s="112"/>
      <c r="G62" s="113"/>
      <c r="H62" s="114"/>
      <c r="I62" s="115"/>
      <c r="J62" s="116"/>
      <c r="K62" s="117"/>
    </row>
    <row r="63" spans="1:11" ht="21.75" customHeight="1" thickBot="1" x14ac:dyDescent="0.25">
      <c r="A63" s="39"/>
      <c r="B63" s="40"/>
      <c r="C63" s="41"/>
      <c r="D63" s="93"/>
      <c r="E63" s="111"/>
      <c r="F63" s="112"/>
      <c r="G63" s="113"/>
      <c r="H63" s="114"/>
      <c r="I63" s="115"/>
      <c r="J63" s="116"/>
      <c r="K63" s="117"/>
    </row>
    <row r="64" spans="1:11" ht="21.75" customHeight="1" x14ac:dyDescent="0.2">
      <c r="A64" s="39"/>
      <c r="B64" s="40"/>
      <c r="C64" s="41"/>
      <c r="D64" s="88"/>
      <c r="E64" s="111"/>
      <c r="F64" s="112"/>
      <c r="G64" s="113"/>
      <c r="H64" s="114"/>
      <c r="I64" s="115"/>
      <c r="J64" s="116"/>
      <c r="K64" s="117"/>
    </row>
    <row r="65" spans="1:11" ht="21.75" customHeight="1" x14ac:dyDescent="0.2">
      <c r="A65" s="39"/>
      <c r="B65" s="40"/>
      <c r="C65" s="41"/>
      <c r="D65" s="93"/>
      <c r="E65" s="111"/>
      <c r="F65" s="112"/>
      <c r="G65" s="113"/>
      <c r="H65" s="114"/>
      <c r="I65" s="115"/>
      <c r="J65" s="116"/>
      <c r="K65" s="117"/>
    </row>
    <row r="66" spans="1:11" ht="21.75" customHeight="1" thickBot="1" x14ac:dyDescent="0.25">
      <c r="A66" s="39"/>
      <c r="B66" s="40"/>
      <c r="C66" s="41"/>
      <c r="D66" s="93"/>
      <c r="E66" s="111"/>
      <c r="F66" s="112"/>
      <c r="G66" s="113"/>
      <c r="H66" s="114"/>
      <c r="I66" s="115"/>
      <c r="J66" s="116"/>
      <c r="K66" s="117"/>
    </row>
    <row r="67" spans="1:11" ht="21.75" customHeight="1" x14ac:dyDescent="0.2">
      <c r="A67" s="39"/>
      <c r="B67" s="40"/>
      <c r="C67" s="41"/>
      <c r="D67" s="88"/>
      <c r="E67" s="111"/>
      <c r="F67" s="112"/>
      <c r="G67" s="113"/>
      <c r="H67" s="114"/>
      <c r="I67" s="115"/>
      <c r="J67" s="116"/>
      <c r="K67" s="117"/>
    </row>
    <row r="68" spans="1:11" ht="21.75" customHeight="1" x14ac:dyDescent="0.2">
      <c r="A68" s="39"/>
      <c r="B68" s="40"/>
      <c r="C68" s="41"/>
      <c r="D68" s="93"/>
      <c r="E68" s="111"/>
      <c r="F68" s="112"/>
      <c r="G68" s="113"/>
      <c r="H68" s="114"/>
      <c r="I68" s="115"/>
      <c r="J68" s="116"/>
      <c r="K68" s="117"/>
    </row>
    <row r="69" spans="1:11" ht="21.75" customHeight="1" thickBot="1" x14ac:dyDescent="0.25">
      <c r="A69" s="39"/>
      <c r="B69" s="40"/>
      <c r="C69" s="41"/>
      <c r="D69" s="93"/>
      <c r="E69" s="111"/>
      <c r="F69" s="112"/>
      <c r="G69" s="113"/>
      <c r="H69" s="114"/>
      <c r="I69" s="115"/>
      <c r="J69" s="116"/>
      <c r="K69" s="117"/>
    </row>
    <row r="70" spans="1:11" ht="21.75" customHeight="1" x14ac:dyDescent="0.2">
      <c r="A70" s="39"/>
      <c r="B70" s="40"/>
      <c r="C70" s="41"/>
      <c r="D70" s="88"/>
      <c r="E70" s="111"/>
      <c r="F70" s="112"/>
      <c r="G70" s="113"/>
      <c r="H70" s="114"/>
      <c r="I70" s="115"/>
      <c r="J70" s="116"/>
      <c r="K70" s="117"/>
    </row>
    <row r="71" spans="1:11" ht="21.75" customHeight="1" x14ac:dyDescent="0.2">
      <c r="A71" s="39"/>
      <c r="B71" s="40"/>
      <c r="C71" s="41"/>
      <c r="D71" s="93"/>
      <c r="E71" s="111"/>
      <c r="F71" s="112"/>
      <c r="G71" s="113"/>
      <c r="H71" s="114"/>
      <c r="I71" s="115"/>
      <c r="J71" s="116"/>
      <c r="K71" s="117"/>
    </row>
    <row r="72" spans="1:11" ht="21.75" customHeight="1" thickBot="1" x14ac:dyDescent="0.25">
      <c r="A72" s="39"/>
      <c r="B72" s="40"/>
      <c r="C72" s="41"/>
      <c r="D72" s="93"/>
      <c r="E72" s="111"/>
      <c r="F72" s="112"/>
      <c r="G72" s="113"/>
      <c r="H72" s="114"/>
      <c r="I72" s="115"/>
      <c r="J72" s="116"/>
      <c r="K72" s="117"/>
    </row>
    <row r="73" spans="1:11" ht="21.75" customHeight="1" x14ac:dyDescent="0.2">
      <c r="A73" s="39"/>
      <c r="B73" s="40"/>
      <c r="C73" s="41"/>
      <c r="D73" s="88"/>
      <c r="E73" s="111"/>
      <c r="F73" s="112"/>
      <c r="G73" s="113"/>
      <c r="H73" s="114"/>
      <c r="I73" s="115"/>
      <c r="J73" s="116"/>
      <c r="K73" s="117"/>
    </row>
    <row r="74" spans="1:11" ht="21.75" customHeight="1" x14ac:dyDescent="0.2">
      <c r="A74" s="39"/>
      <c r="B74" s="40"/>
      <c r="C74" s="41"/>
      <c r="D74" s="93"/>
      <c r="E74" s="111"/>
      <c r="F74" s="112"/>
      <c r="G74" s="113"/>
      <c r="H74" s="114"/>
      <c r="I74" s="115"/>
      <c r="J74" s="116"/>
      <c r="K74" s="117"/>
    </row>
    <row r="75" spans="1:11" ht="21.75" customHeight="1" thickBot="1" x14ac:dyDescent="0.25">
      <c r="A75" s="39"/>
      <c r="B75" s="40"/>
      <c r="C75" s="41"/>
      <c r="D75" s="93"/>
      <c r="E75" s="111"/>
      <c r="F75" s="112"/>
      <c r="G75" s="113"/>
      <c r="H75" s="114"/>
      <c r="I75" s="115"/>
      <c r="J75" s="116"/>
      <c r="K75" s="117"/>
    </row>
    <row r="76" spans="1:11" ht="21.75" customHeight="1" x14ac:dyDescent="0.2">
      <c r="A76" s="39"/>
      <c r="B76" s="40"/>
      <c r="C76" s="41"/>
      <c r="D76" s="88"/>
      <c r="E76" s="111"/>
      <c r="F76" s="112"/>
      <c r="G76" s="113"/>
      <c r="H76" s="114"/>
      <c r="I76" s="115"/>
      <c r="J76" s="116"/>
      <c r="K76" s="117"/>
    </row>
    <row r="77" spans="1:11" ht="21.75" customHeight="1" x14ac:dyDescent="0.2">
      <c r="A77" s="39"/>
      <c r="B77" s="40"/>
      <c r="C77" s="41"/>
      <c r="D77" s="93"/>
      <c r="E77" s="111"/>
      <c r="F77" s="112"/>
      <c r="G77" s="113"/>
      <c r="H77" s="114"/>
      <c r="I77" s="115"/>
      <c r="J77" s="116"/>
      <c r="K77" s="117"/>
    </row>
    <row r="78" spans="1:11" ht="21.75" customHeight="1" thickBot="1" x14ac:dyDescent="0.25">
      <c r="A78" s="39"/>
      <c r="B78" s="40"/>
      <c r="C78" s="41"/>
      <c r="D78" s="93"/>
      <c r="E78" s="111"/>
      <c r="F78" s="112"/>
      <c r="G78" s="113"/>
      <c r="H78" s="114"/>
      <c r="I78" s="115"/>
      <c r="J78" s="116"/>
      <c r="K78" s="117"/>
    </row>
    <row r="79" spans="1:11" ht="21.75" customHeight="1" x14ac:dyDescent="0.2">
      <c r="A79" s="39"/>
      <c r="B79" s="40"/>
      <c r="C79" s="41"/>
      <c r="D79" s="88"/>
      <c r="E79" s="111"/>
      <c r="F79" s="112"/>
      <c r="G79" s="113"/>
      <c r="H79" s="114"/>
      <c r="I79" s="115"/>
      <c r="J79" s="116"/>
      <c r="K79" s="117"/>
    </row>
    <row r="80" spans="1:11" ht="21.75" customHeight="1" x14ac:dyDescent="0.2">
      <c r="A80" s="39"/>
      <c r="B80" s="40"/>
      <c r="C80" s="41"/>
      <c r="D80" s="93"/>
      <c r="E80" s="111"/>
      <c r="F80" s="112"/>
      <c r="G80" s="113"/>
      <c r="H80" s="114"/>
      <c r="I80" s="115"/>
      <c r="J80" s="116"/>
      <c r="K80" s="117"/>
    </row>
    <row r="81" spans="1:11" ht="21.75" customHeight="1" thickBot="1" x14ac:dyDescent="0.25">
      <c r="A81" s="39"/>
      <c r="B81" s="40"/>
      <c r="C81" s="41"/>
      <c r="D81" s="93"/>
      <c r="E81" s="111"/>
      <c r="F81" s="112"/>
      <c r="G81" s="113"/>
      <c r="H81" s="114"/>
      <c r="I81" s="115"/>
      <c r="J81" s="116"/>
      <c r="K81" s="117"/>
    </row>
    <row r="82" spans="1:11" ht="21.75" customHeight="1" x14ac:dyDescent="0.2">
      <c r="A82" s="39"/>
      <c r="B82" s="40"/>
      <c r="C82" s="41"/>
      <c r="D82" s="88"/>
      <c r="E82" s="111"/>
      <c r="F82" s="112"/>
      <c r="G82" s="113"/>
      <c r="H82" s="114"/>
      <c r="I82" s="115"/>
      <c r="J82" s="116"/>
      <c r="K82" s="117"/>
    </row>
    <row r="83" spans="1:11" ht="21.75" customHeight="1" thickBot="1" x14ac:dyDescent="0.25">
      <c r="A83" s="39"/>
      <c r="B83" s="40"/>
      <c r="C83" s="41"/>
      <c r="D83" s="93"/>
      <c r="E83" s="111"/>
      <c r="F83" s="112"/>
      <c r="G83" s="113"/>
      <c r="H83" s="114"/>
      <c r="I83" s="115"/>
      <c r="J83" s="116"/>
      <c r="K83" s="117"/>
    </row>
    <row r="84" spans="1:11" ht="21.75" customHeight="1" x14ac:dyDescent="0.2">
      <c r="A84" s="39"/>
      <c r="B84" s="40"/>
      <c r="C84" s="41"/>
      <c r="D84" s="88"/>
      <c r="E84" s="111"/>
      <c r="F84" s="112"/>
      <c r="G84" s="113"/>
      <c r="H84" s="114"/>
      <c r="I84" s="115"/>
      <c r="J84" s="116"/>
      <c r="K84" s="117"/>
    </row>
    <row r="85" spans="1:11" ht="21.75" customHeight="1" x14ac:dyDescent="0.2">
      <c r="A85" s="39"/>
      <c r="B85" s="40"/>
      <c r="C85" s="41"/>
      <c r="D85" s="93"/>
      <c r="E85" s="111"/>
      <c r="F85" s="112"/>
      <c r="G85" s="113"/>
      <c r="H85" s="114"/>
      <c r="I85" s="115"/>
      <c r="J85" s="116"/>
      <c r="K85" s="117"/>
    </row>
    <row r="86" spans="1:11" ht="21.75" customHeight="1" thickBot="1" x14ac:dyDescent="0.25">
      <c r="A86" s="39"/>
      <c r="B86" s="40"/>
      <c r="C86" s="41"/>
      <c r="D86" s="93"/>
      <c r="E86" s="111"/>
      <c r="F86" s="112"/>
      <c r="G86" s="113"/>
      <c r="H86" s="114"/>
      <c r="I86" s="115"/>
      <c r="J86" s="116"/>
      <c r="K86" s="117"/>
    </row>
    <row r="87" spans="1:11" ht="21.75" customHeight="1" x14ac:dyDescent="0.2">
      <c r="A87" s="39"/>
      <c r="B87" s="40"/>
      <c r="C87" s="41"/>
      <c r="D87" s="88"/>
      <c r="E87" s="111"/>
      <c r="F87" s="112"/>
      <c r="G87" s="113"/>
      <c r="H87" s="114"/>
      <c r="I87" s="115"/>
      <c r="J87" s="116"/>
      <c r="K87" s="117"/>
    </row>
    <row r="88" spans="1:11" ht="21.75" customHeight="1" thickBot="1" x14ac:dyDescent="0.25">
      <c r="A88" s="44"/>
      <c r="B88" s="45"/>
      <c r="C88" s="46"/>
      <c r="D88" s="57" t="s">
        <v>6</v>
      </c>
      <c r="E88" s="58">
        <f>SUM(E46:E87)</f>
        <v>0</v>
      </c>
      <c r="F88" s="59"/>
      <c r="G88" s="86"/>
      <c r="H88" s="84"/>
      <c r="I88" s="75"/>
      <c r="J88" s="61"/>
      <c r="K88" s="56"/>
    </row>
    <row r="89" spans="1:11" s="1" customFormat="1" ht="21.75" customHeight="1" thickBot="1" x14ac:dyDescent="0.25">
      <c r="A89" s="36" t="s">
        <v>15</v>
      </c>
      <c r="B89" s="37"/>
      <c r="C89" s="38"/>
      <c r="D89" s="88"/>
      <c r="E89" s="98"/>
      <c r="F89" s="99"/>
      <c r="G89" s="91"/>
      <c r="H89" s="100"/>
      <c r="I89" s="73">
        <f>SUM(I47:I88)</f>
        <v>0</v>
      </c>
      <c r="J89" s="58">
        <f>SUM(J47:J88)</f>
        <v>0</v>
      </c>
      <c r="K89" s="60"/>
    </row>
    <row r="90" spans="1:11" ht="21.75" customHeight="1" x14ac:dyDescent="0.2">
      <c r="A90" s="39"/>
      <c r="B90" s="40"/>
      <c r="C90" s="41"/>
      <c r="D90" s="93"/>
      <c r="E90" s="101"/>
      <c r="F90" s="102"/>
      <c r="G90" s="96"/>
      <c r="H90" s="103"/>
      <c r="I90" s="74"/>
      <c r="J90" s="8"/>
      <c r="K90" s="9"/>
    </row>
    <row r="91" spans="1:11" ht="21.75" customHeight="1" thickBot="1" x14ac:dyDescent="0.25">
      <c r="A91" s="33"/>
      <c r="B91" s="34"/>
      <c r="C91" s="35"/>
      <c r="D91" s="57" t="s">
        <v>6</v>
      </c>
      <c r="E91" s="58">
        <f>SUM(E89:E90)</f>
        <v>0</v>
      </c>
      <c r="F91" s="59"/>
      <c r="G91" s="86"/>
      <c r="H91" s="84"/>
      <c r="I91" s="75"/>
      <c r="J91" s="61"/>
      <c r="K91" s="56"/>
    </row>
    <row r="92" spans="1:11" s="1" customFormat="1" ht="21.75" customHeight="1" thickBot="1" x14ac:dyDescent="0.25">
      <c r="A92" s="36" t="s">
        <v>7</v>
      </c>
      <c r="B92" s="37"/>
      <c r="C92" s="38"/>
      <c r="D92" s="88"/>
      <c r="E92" s="98"/>
      <c r="F92" s="99"/>
      <c r="G92" s="91"/>
      <c r="H92" s="100"/>
      <c r="I92" s="73">
        <f t="shared" ref="I92:J92" si="8">SUM(I90:I91)</f>
        <v>0</v>
      </c>
      <c r="J92" s="58">
        <f t="shared" si="8"/>
        <v>0</v>
      </c>
      <c r="K92" s="60"/>
    </row>
    <row r="93" spans="1:11" ht="21.75" customHeight="1" x14ac:dyDescent="0.2">
      <c r="A93" s="39"/>
      <c r="B93" s="40"/>
      <c r="C93" s="41"/>
      <c r="D93" s="93"/>
      <c r="E93" s="101"/>
      <c r="F93" s="102"/>
      <c r="G93" s="96"/>
      <c r="H93" s="103"/>
      <c r="I93" s="74"/>
      <c r="J93" s="8"/>
      <c r="K93" s="9"/>
    </row>
    <row r="94" spans="1:11" ht="21.75" customHeight="1" thickBot="1" x14ac:dyDescent="0.25">
      <c r="A94" s="33"/>
      <c r="B94" s="34"/>
      <c r="C94" s="35"/>
      <c r="D94" s="57" t="s">
        <v>6</v>
      </c>
      <c r="E94" s="58">
        <f>SUM(E92:E93)</f>
        <v>0</v>
      </c>
      <c r="F94" s="59"/>
      <c r="G94" s="86"/>
      <c r="H94" s="84"/>
      <c r="I94" s="75"/>
      <c r="J94" s="61"/>
      <c r="K94" s="56"/>
    </row>
    <row r="95" spans="1:11" ht="21.75" customHeight="1" x14ac:dyDescent="0.2">
      <c r="A95" s="39" t="s">
        <v>16</v>
      </c>
      <c r="B95" s="40"/>
      <c r="C95" s="41"/>
      <c r="D95" s="93"/>
      <c r="E95" s="101"/>
      <c r="F95" s="102"/>
      <c r="G95" s="96"/>
      <c r="H95" s="103"/>
      <c r="I95" s="79"/>
      <c r="J95" s="6"/>
      <c r="K95" s="7"/>
    </row>
    <row r="96" spans="1:11" ht="21.75" customHeight="1" x14ac:dyDescent="0.2">
      <c r="A96" s="39"/>
      <c r="B96" s="40"/>
      <c r="C96" s="41"/>
      <c r="D96" s="93"/>
      <c r="E96" s="101"/>
      <c r="F96" s="102"/>
      <c r="G96" s="96"/>
      <c r="H96" s="103"/>
      <c r="I96" s="75"/>
      <c r="J96" s="61"/>
      <c r="K96" s="56"/>
    </row>
    <row r="97" spans="1:11" ht="21.75" customHeight="1" thickBot="1" x14ac:dyDescent="0.25">
      <c r="A97" s="33"/>
      <c r="B97" s="34"/>
      <c r="C97" s="35"/>
      <c r="D97" s="57" t="s">
        <v>6</v>
      </c>
      <c r="E97" s="58">
        <f>SUM(E95:E96)</f>
        <v>0</v>
      </c>
      <c r="F97" s="59"/>
      <c r="G97" s="86"/>
      <c r="H97" s="84"/>
      <c r="I97" s="75"/>
      <c r="J97" s="61"/>
      <c r="K97" s="56"/>
    </row>
    <row r="98" spans="1:11" s="1" customFormat="1" ht="21.75" customHeight="1" thickBot="1" x14ac:dyDescent="0.25">
      <c r="A98" s="36" t="s">
        <v>18</v>
      </c>
      <c r="B98" s="37"/>
      <c r="C98" s="38"/>
      <c r="D98" s="88"/>
      <c r="E98" s="98"/>
      <c r="F98" s="99"/>
      <c r="G98" s="91"/>
      <c r="H98" s="100"/>
      <c r="I98" s="73">
        <f t="shared" ref="I98:J98" si="9">SUM(I95:I97)</f>
        <v>0</v>
      </c>
      <c r="J98" s="58">
        <f t="shared" si="9"/>
        <v>0</v>
      </c>
      <c r="K98" s="60"/>
    </row>
    <row r="99" spans="1:11" ht="21.75" customHeight="1" x14ac:dyDescent="0.2">
      <c r="A99" s="39"/>
      <c r="B99" s="40"/>
      <c r="C99" s="41"/>
      <c r="D99" s="93"/>
      <c r="E99" s="101"/>
      <c r="F99" s="102"/>
      <c r="G99" s="96"/>
      <c r="H99" s="103"/>
      <c r="I99" s="74"/>
      <c r="J99" s="8"/>
      <c r="K99" s="9"/>
    </row>
    <row r="100" spans="1:11" ht="21.75" customHeight="1" thickBot="1" x14ac:dyDescent="0.25">
      <c r="A100" s="81"/>
      <c r="B100" s="82"/>
      <c r="C100" s="83"/>
      <c r="D100" s="57" t="s">
        <v>6</v>
      </c>
      <c r="E100" s="58">
        <f>SUM(E98:E99)</f>
        <v>0</v>
      </c>
      <c r="F100" s="59"/>
      <c r="G100" s="86"/>
      <c r="H100" s="84"/>
      <c r="I100" s="75"/>
      <c r="J100" s="61"/>
      <c r="K100" s="56"/>
    </row>
    <row r="101" spans="1:11" ht="21.75" customHeight="1" thickBot="1" x14ac:dyDescent="0.25">
      <c r="A101" s="47" t="s">
        <v>30</v>
      </c>
      <c r="B101" s="106"/>
      <c r="C101" s="55" t="s">
        <v>31</v>
      </c>
      <c r="D101" s="88"/>
      <c r="E101" s="104"/>
      <c r="F101" s="99"/>
      <c r="G101" s="91"/>
      <c r="H101" s="100"/>
      <c r="I101" s="73">
        <f t="shared" ref="I101:J101" si="10">SUM(I99:I100)</f>
        <v>0</v>
      </c>
      <c r="J101" s="58">
        <f t="shared" si="10"/>
        <v>0</v>
      </c>
      <c r="K101" s="60"/>
    </row>
    <row r="102" spans="1:11" ht="21.75" customHeight="1" x14ac:dyDescent="0.2">
      <c r="A102" s="47"/>
      <c r="B102" s="40"/>
      <c r="C102" s="41"/>
      <c r="D102" s="93"/>
      <c r="E102" s="105"/>
      <c r="F102" s="102"/>
      <c r="G102" s="96"/>
      <c r="H102" s="103"/>
      <c r="I102" s="76"/>
      <c r="J102" s="6"/>
      <c r="K102" s="7"/>
    </row>
    <row r="103" spans="1:11" ht="21.75" customHeight="1" thickBot="1" x14ac:dyDescent="0.25">
      <c r="A103" s="48"/>
      <c r="B103" s="34"/>
      <c r="C103" s="35"/>
      <c r="D103" s="57" t="s">
        <v>6</v>
      </c>
      <c r="E103" s="58">
        <f>SUM(E101)</f>
        <v>0</v>
      </c>
      <c r="F103" s="59"/>
      <c r="G103" s="86"/>
      <c r="H103" s="84"/>
      <c r="I103" s="77"/>
      <c r="J103" s="17"/>
      <c r="K103" s="62"/>
    </row>
    <row r="104" spans="1:11" ht="21.75" customHeight="1" thickBot="1" x14ac:dyDescent="0.25">
      <c r="A104" s="47" t="s">
        <v>30</v>
      </c>
      <c r="B104" s="107"/>
      <c r="C104" s="49" t="s">
        <v>31</v>
      </c>
      <c r="D104" s="88"/>
      <c r="E104" s="98"/>
      <c r="F104" s="99"/>
      <c r="G104" s="91"/>
      <c r="H104" s="100"/>
      <c r="I104" s="73">
        <f t="shared" ref="I104:J104" si="11">SUM(I102)</f>
        <v>0</v>
      </c>
      <c r="J104" s="58">
        <f t="shared" si="11"/>
        <v>0</v>
      </c>
      <c r="K104" s="60"/>
    </row>
    <row r="105" spans="1:11" ht="21" customHeight="1" x14ac:dyDescent="0.2">
      <c r="A105" s="47"/>
      <c r="B105" s="40"/>
      <c r="C105" s="41"/>
      <c r="D105" s="93"/>
      <c r="E105" s="101"/>
      <c r="F105" s="102"/>
      <c r="G105" s="96"/>
      <c r="H105" s="103"/>
      <c r="I105" s="74"/>
      <c r="J105" s="8"/>
      <c r="K105" s="9"/>
    </row>
    <row r="106" spans="1:11" ht="21" customHeight="1" thickBot="1" x14ac:dyDescent="0.25">
      <c r="A106" s="48"/>
      <c r="B106" s="34"/>
      <c r="C106" s="35"/>
      <c r="D106" s="57" t="s">
        <v>6</v>
      </c>
      <c r="E106" s="58">
        <f>SUM(E104:E105)</f>
        <v>0</v>
      </c>
      <c r="F106" s="59"/>
      <c r="G106" s="86"/>
      <c r="H106" s="84"/>
      <c r="I106" s="75"/>
      <c r="J106" s="61"/>
      <c r="K106" s="56"/>
    </row>
    <row r="107" spans="1:11" s="1" customFormat="1" ht="21" customHeight="1" thickBot="1" x14ac:dyDescent="0.25">
      <c r="A107" s="48"/>
      <c r="B107" s="34"/>
      <c r="C107" s="35"/>
      <c r="D107" s="14" t="s">
        <v>19</v>
      </c>
      <c r="E107" s="16">
        <f>E6+E9+E12+E15+E18+E21+E24+E27+E30+E33+E36+E39+E42+E45+E88+E91+E94+E97+E100+E103+E106</f>
        <v>9500</v>
      </c>
      <c r="F107" s="15"/>
      <c r="G107" s="87"/>
      <c r="H107" s="85"/>
      <c r="I107" s="73">
        <f t="shared" ref="I107:J107" si="12">SUM(I105:I106)</f>
        <v>0</v>
      </c>
      <c r="J107" s="58">
        <f t="shared" si="12"/>
        <v>0</v>
      </c>
      <c r="K107" s="60"/>
    </row>
    <row r="108" spans="1:11" s="1" customFormat="1" ht="21" customHeight="1" thickBot="1" x14ac:dyDescent="0.25">
      <c r="I108" s="80" t="e">
        <f>#REF!+I10+#REF!+I16+I19+I22+#REF!+#REF!+I31+I34+I37+I40+I43+I46+I89+I92+#REF!+I98+I101+I104+I107</f>
        <v>#REF!</v>
      </c>
      <c r="J108" s="10" t="e">
        <f>#REF!+J10+#REF!+J16+J19+J22+#REF!+#REF!+J31+J34+J37+J40+J43+J46+J89+J92+#REF!+J98+J101+J104+J107</f>
        <v>#REF!</v>
      </c>
      <c r="K108" s="5"/>
    </row>
    <row r="110" spans="1:11" ht="21.75" customHeight="1" x14ac:dyDescent="0.2">
      <c r="I110" s="13"/>
    </row>
    <row r="112" spans="1:11" ht="21.75" customHeight="1" x14ac:dyDescent="0.2">
      <c r="I112" s="13"/>
    </row>
  </sheetData>
  <mergeCells count="2">
    <mergeCell ref="D1:G1"/>
    <mergeCell ref="A16:C16"/>
  </mergeCells>
  <phoneticPr fontId="2"/>
  <pageMargins left="0.59055118110236227" right="0.15748031496062992" top="0.59055118110236227" bottom="0.39370078740157483" header="0.15748031496062992" footer="0.15748031496062992"/>
  <pageSetup paperSize="9" scale="88" orientation="portrait" blackAndWhite="1" horizontalDpi="300" verticalDpi="300"/>
  <headerFooter>
    <oddFooter>&amp;C&amp;"Meiryo UI,標準"&amp;9&amp;P/&amp;N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入力例</vt:lpstr>
      <vt:lpstr>費目詳細</vt:lpstr>
      <vt:lpstr>入力例!Print_Area</vt:lpstr>
      <vt:lpstr>入力例!Print_Titles</vt:lpstr>
      <vt:lpstr>費目詳細!Print_Titles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2025-03-14T07:52:53Z</cp:lastPrinted>
  <dcterms:created xsi:type="dcterms:W3CDTF">2020-06-24T00:33:47Z</dcterms:created>
  <dcterms:modified xsi:type="dcterms:W3CDTF">2026-07-21T02:06:20Z</dcterms:modified>
</cp:coreProperties>
</file>